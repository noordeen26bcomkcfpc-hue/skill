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8892f41d043dca/Desktop/"/>
    </mc:Choice>
  </mc:AlternateContent>
  <xr:revisionPtr revIDLastSave="5" documentId="8_{FA932DAD-02FC-4F64-9D97-9317299EBF81}" xr6:coauthVersionLast="47" xr6:coauthVersionMax="47" xr10:uidLastSave="{A1210404-90E3-4014-9C02-020F4AC0F525}"/>
  <bookViews>
    <workbookView xWindow="-108" yWindow="-108" windowWidth="23256" windowHeight="12456" activeTab="7" xr2:uid="{09914971-56B7-4E68-A130-5B3F2DDFBB6A}"/>
  </bookViews>
  <sheets>
    <sheet name="Problem" sheetId="1" r:id="rId1"/>
    <sheet name="Journal" sheetId="2" r:id="rId2"/>
    <sheet name="Ledger" sheetId="3" r:id="rId3"/>
    <sheet name="Trial Balance" sheetId="4" r:id="rId4"/>
    <sheet name="Trading Ac" sheetId="5" r:id="rId5"/>
    <sheet name="P&amp;L" sheetId="6" r:id="rId6"/>
    <sheet name="Balance Sheet" sheetId="7" r:id="rId7"/>
    <sheet name="Ratio Analys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F9" i="7"/>
  <c r="F11" i="7"/>
  <c r="C16" i="7"/>
  <c r="F16" i="7"/>
  <c r="C7" i="6"/>
  <c r="C10" i="6" s="1"/>
  <c r="C12" i="6" s="1"/>
  <c r="F12" i="6"/>
  <c r="C11" i="5"/>
  <c r="F11" i="5"/>
  <c r="C19" i="4"/>
  <c r="D19" i="4"/>
  <c r="D26" i="3"/>
  <c r="H26" i="3"/>
  <c r="D27" i="3"/>
  <c r="D41" i="3"/>
  <c r="H41" i="3"/>
  <c r="D70" i="3"/>
  <c r="D80" i="3"/>
  <c r="H80" i="3"/>
  <c r="H92" i="3"/>
  <c r="D102" i="3"/>
  <c r="H102" i="3"/>
  <c r="D111" i="3"/>
  <c r="D120" i="3"/>
  <c r="H120" i="3"/>
  <c r="H121" i="3"/>
  <c r="D146" i="3"/>
  <c r="F7" i="2"/>
</calcChain>
</file>

<file path=xl/sharedStrings.xml><?xml version="1.0" encoding="utf-8"?>
<sst xmlns="http://schemas.openxmlformats.org/spreadsheetml/2006/main" count="562" uniqueCount="210">
  <si>
    <t>Wages paid by cheque ₹50,000</t>
  </si>
  <si>
    <t>Salary paid in cash ₹30,000</t>
  </si>
  <si>
    <t>Adjustment as on 28 February 2026:</t>
  </si>
  <si>
    <t>1. Closing Stock = 2,00,000.</t>
  </si>
  <si>
    <t>2. Salary outstanding = 30,000.</t>
  </si>
  <si>
    <t>3. Depreciation@10% to be charged on Furniture &amp; Fixtures and @15% on Plant &amp; Machinery.</t>
  </si>
  <si>
    <t>You are required to;</t>
  </si>
  <si>
    <t>(i) Journalize the above transactions and post them in Ledgers and prepare a Trial Balance.</t>
  </si>
  <si>
    <t>(ii) Prepare Trading A/c, Profit &amp; Loss A/c and Balance Sheet</t>
  </si>
  <si>
    <t>In the Books of Ram Traders.Preparation of Journal entries for the Month January to February 2026.</t>
  </si>
  <si>
    <t>Date</t>
  </si>
  <si>
    <t>Particulars</t>
  </si>
  <si>
    <t>L.F</t>
  </si>
  <si>
    <t>Debit₹</t>
  </si>
  <si>
    <t>Credit₹</t>
  </si>
  <si>
    <t>Cash A/c</t>
  </si>
  <si>
    <t>Dr</t>
  </si>
  <si>
    <t xml:space="preserve">Bank A/c </t>
  </si>
  <si>
    <t>Furniture A/c</t>
  </si>
  <si>
    <t xml:space="preserve">  To Capital A/c</t>
  </si>
  <si>
    <t>(Being started business with cash,bank and furniture)</t>
  </si>
  <si>
    <t>Plant&amp;Machinery A/c</t>
  </si>
  <si>
    <t xml:space="preserve">  To Bank A/c</t>
  </si>
  <si>
    <t>(Being Plant&amp;Machinery purchased by cheque)</t>
  </si>
  <si>
    <t>Purchase A/c</t>
  </si>
  <si>
    <t xml:space="preserve">  To ABC Ltd A/c</t>
  </si>
  <si>
    <t>(Being purchased goods from ABC Ltd)</t>
  </si>
  <si>
    <t xml:space="preserve">  To Sales A/c</t>
  </si>
  <si>
    <t>(Being Cash Sales)</t>
  </si>
  <si>
    <t xml:space="preserve">  To Cash A/c</t>
  </si>
  <si>
    <t>(Being Deposited cash with bank of america)</t>
  </si>
  <si>
    <t>ABC Ltd A/c</t>
  </si>
  <si>
    <t>(Being paid ABC Ltd in Cash)</t>
  </si>
  <si>
    <t xml:space="preserve">  To Commission Received A/c</t>
  </si>
  <si>
    <t>(Being Commission received by cheque)</t>
  </si>
  <si>
    <t>(Being Cash purchase)</t>
  </si>
  <si>
    <t>XYZ Traders A/c</t>
  </si>
  <si>
    <t>(Being Sold goods for XYZ Traders)</t>
  </si>
  <si>
    <t xml:space="preserve">  To XYZ Traders A/c</t>
  </si>
  <si>
    <t>(Being received cheque from XYZ Traders)</t>
  </si>
  <si>
    <t>Bank A/c</t>
  </si>
  <si>
    <t xml:space="preserve">  To Bank Loan A/c</t>
  </si>
  <si>
    <t>(Being Received loan from bank of america)</t>
  </si>
  <si>
    <t>(Being withdrew cash from bank)</t>
  </si>
  <si>
    <t>(Being Commission received by cash)</t>
  </si>
  <si>
    <t>(Being Paid ABC Ltd by cheque)</t>
  </si>
  <si>
    <t>To XYZ Traders A/c</t>
  </si>
  <si>
    <t>(Being received cash from XYZ Traders)</t>
  </si>
  <si>
    <t>Bank Loan A/c</t>
  </si>
  <si>
    <t>(Being bank loan repaid)</t>
  </si>
  <si>
    <t xml:space="preserve">  To Received intrest A/c</t>
  </si>
  <si>
    <t>(Being Received intrest from Bank)</t>
  </si>
  <si>
    <t>Office Rent A/c</t>
  </si>
  <si>
    <t>(Being paid office rent by cash)</t>
  </si>
  <si>
    <t>Salary A/c</t>
  </si>
  <si>
    <t>(Being paid salary by bank and cash)</t>
  </si>
  <si>
    <t>Wages A/c</t>
  </si>
  <si>
    <t>(Being paid wages by cheque)</t>
  </si>
  <si>
    <t>(Being paid salary by cash)</t>
  </si>
  <si>
    <t>In the Books of Ram Traders.Preparation of Ledger for the month ended January to February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</si>
  <si>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</si>
  <si>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</si>
  <si>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</si>
  <si>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</si>
  <si>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</si>
  <si>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</si>
  <si>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</si>
  <si>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</si>
  <si>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Furniture A/c</t>
  </si>
  <si>
    <t>By Balance B/d</t>
  </si>
  <si>
    <t>To Capital A/c</t>
  </si>
  <si>
    <t xml:space="preserve">By Bank A/c </t>
  </si>
  <si>
    <t>To Sales A/c</t>
  </si>
  <si>
    <t>By ABC Ltd A/c</t>
  </si>
  <si>
    <t>To Bank A/c</t>
  </si>
  <si>
    <t>By Purchase A/c</t>
  </si>
  <si>
    <t>To Commission received A/c</t>
  </si>
  <si>
    <t>By Office Rent A/c</t>
  </si>
  <si>
    <t>By Salary A/c</t>
  </si>
  <si>
    <t>By Balance C/d</t>
  </si>
  <si>
    <t>To Balance B/d</t>
  </si>
  <si>
    <t>By Plant &amp; Machinery</t>
  </si>
  <si>
    <t>To Cash A/c</t>
  </si>
  <si>
    <t>By Bank Loan A/c</t>
  </si>
  <si>
    <t>To Bank Loan A/c</t>
  </si>
  <si>
    <t>To Received Intrest A/c</t>
  </si>
  <si>
    <t>By Wages A/c</t>
  </si>
  <si>
    <t>Plant &amp; Machinery A/c</t>
  </si>
  <si>
    <t>To ABC Ltd A/c</t>
  </si>
  <si>
    <t>Sales A/c</t>
  </si>
  <si>
    <t>By XYZ Traders A/c</t>
  </si>
  <si>
    <t>Commission Received A/c</t>
  </si>
  <si>
    <t>Received Intrest A/c</t>
  </si>
  <si>
    <t>In the Books of Ram Traders.Preparation of Trial Balance for the month ended January to February 2026.</t>
  </si>
  <si>
    <t>S.No</t>
  </si>
  <si>
    <t>Commission received A/c</t>
  </si>
  <si>
    <t xml:space="preserve">Total </t>
  </si>
  <si>
    <t xml:space="preserve">   </t>
  </si>
  <si>
    <t xml:space="preserve"> In the Books of Ram Traders.Preparation of Trading A/c for the Month ended January to February 2026.</t>
  </si>
  <si>
    <t>To Opening Stock</t>
  </si>
  <si>
    <t>-</t>
  </si>
  <si>
    <t>By Sales Returs A/c</t>
  </si>
  <si>
    <t>To Purchase A/c</t>
  </si>
  <si>
    <t>By Closing Stock</t>
  </si>
  <si>
    <t>To Direct Expenses</t>
  </si>
  <si>
    <t>To Wages A/c</t>
  </si>
  <si>
    <t>To Gross Profit C/d</t>
  </si>
  <si>
    <t>In the Books of Ram Traders. Preparation of Profit &amp; Loss A/c for the Month Ended January to Fabruary 2026.</t>
  </si>
  <si>
    <t xml:space="preserve">To Office Rent </t>
  </si>
  <si>
    <t>By Gross Profit B/d</t>
  </si>
  <si>
    <t xml:space="preserve">To Salary </t>
  </si>
  <si>
    <t>By Commission Received</t>
  </si>
  <si>
    <t>Add:Outstanding Salaries</t>
  </si>
  <si>
    <t>By Intrest Received</t>
  </si>
  <si>
    <t>To Depreciation on furniture</t>
  </si>
  <si>
    <t>To Depreciation on Plant &amp; Machinery.</t>
  </si>
  <si>
    <t>To Net profit</t>
  </si>
  <si>
    <t>In the Books of Ram Traders.Preparation of Balance Sheet for the Month Ended January to February 2026.</t>
  </si>
  <si>
    <t>Liabilities</t>
  </si>
  <si>
    <t>Asstes</t>
  </si>
  <si>
    <t>Capital</t>
  </si>
  <si>
    <t xml:space="preserve">Cash </t>
  </si>
  <si>
    <t>Add:Net Profit</t>
  </si>
  <si>
    <t>Bank</t>
  </si>
  <si>
    <t>Current Liabilities:</t>
  </si>
  <si>
    <t>Fixed Assets:</t>
  </si>
  <si>
    <t>Sundry Creditors:</t>
  </si>
  <si>
    <t>Furniture</t>
  </si>
  <si>
    <t>ABC Ltd</t>
  </si>
  <si>
    <t>Less:Depreciation</t>
  </si>
  <si>
    <t>Bank Loan</t>
  </si>
  <si>
    <t>Plant &amp; Machinery</t>
  </si>
  <si>
    <t>Outstanding salaries</t>
  </si>
  <si>
    <t>Sundry Debtors:</t>
  </si>
  <si>
    <t>XYZ Traders</t>
  </si>
  <si>
    <t>Closing Stock</t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</si>
  <si>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</si>
  <si>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</si>
  <si>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</si>
  <si>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</si>
  <si>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</si>
  <si>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</si>
  <si>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The firm has ₹4.94 of current assets for every ₹1 of current</t>
  </si>
  <si>
    <t>Current Assets</t>
  </si>
  <si>
    <t xml:space="preserve"> liabilities. Firm Indicates excellent short-term solvency and a very strong </t>
  </si>
  <si>
    <t>Current Liabilities</t>
  </si>
  <si>
    <t>ability to meet its current obligations.</t>
  </si>
  <si>
    <t>Current Ratio</t>
  </si>
  <si>
    <t>Too much of money is tied up in current assats, reducing profitability.</t>
  </si>
  <si>
    <t>2. Quick Ratio</t>
  </si>
  <si>
    <t>(Current Assets - Inventory - Prepaid Expenses) / Current Liabilities</t>
  </si>
  <si>
    <t>Ideal quick ratio is 1:1</t>
  </si>
  <si>
    <t>The firm has ₹4.55 of liquid assets for every ₹1 of current</t>
  </si>
  <si>
    <t>Quick Assets</t>
  </si>
  <si>
    <t>liabilities.This indicates exellent immediate liquidity and very strong</t>
  </si>
  <si>
    <t>ability to meet short-term obligations.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</si>
  <si>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</si>
  <si>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</si>
  <si>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</si>
  <si>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</si>
  <si>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</si>
  <si>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The firm has ₹2.90 of cash and cash equivalents for every ₹1 of</t>
  </si>
  <si>
    <t>Cash and Cash Equivalents</t>
  </si>
  <si>
    <t xml:space="preserve">current liabilities. Comfortably meet all its short-term obligations using </t>
  </si>
  <si>
    <t>only its cash and cash equivalents.</t>
  </si>
  <si>
    <t>Cash Ratio</t>
  </si>
  <si>
    <t>Excess cash is lying idle and not earning good return.</t>
  </si>
  <si>
    <t>4.  Debt-to-Equity Ratio</t>
  </si>
  <si>
    <t>Total Debt / Shareholders' Equity</t>
  </si>
  <si>
    <t>Ideal ratio is &lt; 1.0</t>
  </si>
  <si>
    <t>Total Debt</t>
  </si>
  <si>
    <t>The firm has ₹0.29 of debt for every ₹1 of shareholder's equity.</t>
  </si>
  <si>
    <t>Shareholders' Equity</t>
  </si>
  <si>
    <t>This Indicates a very low level of financial average and a strong equity base.</t>
  </si>
  <si>
    <t>Debt-to-Equity Ratio</t>
  </si>
  <si>
    <t>Excess equity may reduce profitability.</t>
  </si>
  <si>
    <t>5. Debt-to-Asset Ratio</t>
  </si>
  <si>
    <t>Total Debt / Total Assets</t>
  </si>
  <si>
    <t>Ideal ratio is &lt; 50%</t>
  </si>
  <si>
    <t>The firm has ₹0.23 of debt for every ₹1 invested in total assets.</t>
  </si>
  <si>
    <t>The firm finances 23% of its assets through debt.</t>
  </si>
  <si>
    <t>Total Assets</t>
  </si>
  <si>
    <t>Indicates strong financial stability and a low level of financial risk.</t>
  </si>
  <si>
    <t>Debt-to-Asset Ratio</t>
  </si>
  <si>
    <t>The company depends more on equity than debt, Which may reduce expansion opportunities.</t>
  </si>
  <si>
    <t>6. Asset Turnover Ratio</t>
  </si>
  <si>
    <t>Net Sales / Total Assets</t>
  </si>
  <si>
    <t>Ideal ratio is &gt; 2 times</t>
  </si>
  <si>
    <t>Net Sales</t>
  </si>
  <si>
    <t>The firm generates only ₹0.78 of net sales for every ₹1 invested in total assets.</t>
  </si>
  <si>
    <t>This indicates the business generates sales equal to 78% of its total assets.</t>
  </si>
  <si>
    <t>Asset Turnover Ratio</t>
  </si>
  <si>
    <t>The company is not using its assets efficiently to generate sales.</t>
  </si>
  <si>
    <t>7. Working Capital Turnover Ratio</t>
  </si>
  <si>
    <t>Net Sales / Current Assets - (Current Liabilities)</t>
  </si>
  <si>
    <t>Ideal ratio is &gt; 5 times.</t>
  </si>
  <si>
    <t>Thhe firm generates ₹1.13 of of net sales for every ₹1 of working capital.</t>
  </si>
  <si>
    <t>Current Asset - Current Liability</t>
  </si>
  <si>
    <t>This indicates the business generates sales equal to 113% of its working capital.</t>
  </si>
  <si>
    <t>Working Capital Turnover Ratio</t>
  </si>
  <si>
    <t>Working capital is not being used effectively to increase sales.</t>
  </si>
  <si>
    <t>8. Inventory Turnover Ratio</t>
  </si>
  <si>
    <t>COGS / Average Inventory</t>
  </si>
  <si>
    <t xml:space="preserve">Ideal ratio is &gt; 5 times </t>
  </si>
  <si>
    <t>COGS</t>
  </si>
  <si>
    <t>The firm turns over its inventory ₹14.2 times during the year. This indicates slow inventory</t>
  </si>
  <si>
    <t>Average Inventory</t>
  </si>
  <si>
    <t>movement and relatively lower sales efficiency.</t>
  </si>
  <si>
    <t>Inventory Turnover Ratio</t>
  </si>
  <si>
    <t>Very high inventory turnover may lead to stock shortages if inventory is not replace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</si>
</sst>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9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1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13" xfId="0" applyFont="1" applyBorder="1"/>
    <xf numFmtId="164" fontId="4" fillId="0" borderId="7" xfId="0" applyNumberFormat="1" applyFont="1" applyBorder="1"/>
    <xf numFmtId="0" fontId="4" fillId="0" borderId="7" xfId="0" applyFont="1" applyBorder="1"/>
    <xf numFmtId="164" fontId="5" fillId="0" borderId="0" xfId="0" applyNumberFormat="1" applyFont="1"/>
    <xf numFmtId="0" fontId="4" fillId="0" borderId="14" xfId="0" applyFont="1" applyBorder="1"/>
    <xf numFmtId="164" fontId="4" fillId="0" borderId="9" xfId="0" applyNumberFormat="1" applyFont="1" applyBorder="1"/>
    <xf numFmtId="164" fontId="5" fillId="0" borderId="1" xfId="0" applyNumberFormat="1" applyFont="1" applyBorder="1"/>
    <xf numFmtId="0" fontId="4" fillId="0" borderId="9" xfId="0" applyFont="1" applyBorder="1"/>
    <xf numFmtId="164" fontId="4" fillId="0" borderId="10" xfId="0" applyNumberFormat="1" applyFont="1" applyBorder="1"/>
    <xf numFmtId="0" fontId="4" fillId="0" borderId="12" xfId="0" applyFont="1" applyBorder="1"/>
    <xf numFmtId="0" fontId="5" fillId="0" borderId="1" xfId="0" applyFont="1" applyBorder="1" applyAlignment="1">
      <alignment horizontal="center"/>
    </xf>
    <xf numFmtId="164" fontId="5" fillId="0" borderId="2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14" fontId="4" fillId="0" borderId="0" xfId="0" applyNumberFormat="1" applyFont="1"/>
    <xf numFmtId="14" fontId="4" fillId="0" borderId="4" xfId="0" applyNumberFormat="1" applyFont="1" applyBorder="1"/>
    <xf numFmtId="0" fontId="4" fillId="0" borderId="5" xfId="0" applyFont="1" applyBorder="1"/>
    <xf numFmtId="0" fontId="4" fillId="0" borderId="4" xfId="0" applyFont="1" applyBorder="1"/>
    <xf numFmtId="164" fontId="4" fillId="0" borderId="4" xfId="0" applyNumberFormat="1" applyFont="1" applyBorder="1"/>
    <xf numFmtId="164" fontId="4" fillId="0" borderId="6" xfId="0" applyNumberFormat="1" applyFont="1" applyBorder="1"/>
    <xf numFmtId="164" fontId="4" fillId="0" borderId="8" xfId="0" applyNumberFormat="1" applyFont="1" applyBorder="1"/>
    <xf numFmtId="0" fontId="4" fillId="0" borderId="10" xfId="0" applyFont="1" applyBorder="1"/>
    <xf numFmtId="164" fontId="4" fillId="0" borderId="11" xfId="0" applyNumberFormat="1" applyFont="1" applyBorder="1"/>
    <xf numFmtId="14" fontId="4" fillId="0" borderId="7" xfId="0" applyNumberFormat="1" applyFont="1" applyBorder="1"/>
    <xf numFmtId="16" fontId="4" fillId="0" borderId="0" xfId="0" applyNumberFormat="1" applyFont="1"/>
    <xf numFmtId="164" fontId="4" fillId="0" borderId="13" xfId="0" applyNumberFormat="1" applyFont="1" applyBorder="1"/>
    <xf numFmtId="0" fontId="4" fillId="0" borderId="8" xfId="0" applyFont="1" applyBorder="1"/>
    <xf numFmtId="164" fontId="4" fillId="0" borderId="15" xfId="0" applyNumberFormat="1" applyFont="1" applyBorder="1"/>
    <xf numFmtId="164" fontId="5" fillId="0" borderId="7" xfId="0" applyNumberFormat="1" applyFont="1" applyBorder="1"/>
    <xf numFmtId="164" fontId="4" fillId="0" borderId="14" xfId="0" applyNumberFormat="1" applyFont="1" applyBorder="1"/>
    <xf numFmtId="0" fontId="4" fillId="0" borderId="11" xfId="0" applyFont="1" applyBorder="1"/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7" xfId="0" applyNumberFormat="1" applyFont="1" applyFill="1" applyBorder="1" applyAlignment="1" applyProtection="1">
      <alignment horizontal="center"/>
    </xf>
    <xf numFmtId="0" fontId="1" fillId="2" borderId="18" xfId="0" applyNumberFormat="1" applyFont="1" applyFill="1" applyBorder="1" applyAlignment="1" applyProtection="1">
      <alignment horizontal="center"/>
    </xf>
    <xf numFmtId="0" fontId="1" fillId="2" borderId="16" xfId="0" applyNumberFormat="1" applyFont="1" applyFill="1" applyBorder="1" applyAlignment="1" applyProtection="1">
      <alignment horizontal="center"/>
    </xf>
    <xf numFmtId="0" fontId="6" fillId="2" borderId="17" xfId="0" applyNumberFormat="1" applyFont="1" applyFill="1" applyBorder="1" applyAlignment="1" applyProtection="1">
      <alignment horizontal="center"/>
    </xf>
    <xf numFmtId="0" fontId="6" fillId="2" borderId="18" xfId="0" applyNumberFormat="1" applyFont="1" applyFill="1" applyBorder="1" applyAlignment="1" applyProtection="1">
      <alignment horizontal="center"/>
    </xf>
    <xf numFmtId="0" fontId="7" fillId="2" borderId="2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1" fillId="2" borderId="20" xfId="0" applyNumberFormat="1" applyFont="1" applyFill="1" applyBorder="1" applyAlignment="1" applyProtection="1"/>
    <xf numFmtId="0" fontId="7" fillId="2" borderId="21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>
      <alignment horizontal="right"/>
    </xf>
    <xf numFmtId="3" fontId="7" fillId="2" borderId="21" xfId="0" applyNumberFormat="1" applyFont="1" applyFill="1" applyBorder="1" applyAlignment="1" applyProtection="1"/>
    <xf numFmtId="0" fontId="1" fillId="2" borderId="22" xfId="0" applyNumberFormat="1" applyFont="1" applyFill="1" applyBorder="1" applyAlignment="1" applyProtection="1">
      <alignment horizontal="right"/>
    </xf>
    <xf numFmtId="2" fontId="1" fillId="2" borderId="23" xfId="0" applyNumberFormat="1" applyFont="1" applyFill="1" applyBorder="1" applyAlignment="1" applyProtection="1"/>
    <xf numFmtId="0" fontId="7" fillId="2" borderId="23" xfId="0" applyNumberFormat="1" applyFont="1" applyFill="1" applyBorder="1" applyAlignment="1" applyProtection="1"/>
    <xf numFmtId="0" fontId="1" fillId="2" borderId="19" xfId="0" applyNumberFormat="1" applyFont="1" applyFill="1" applyBorder="1" applyAlignment="1" applyProtection="1"/>
    <xf numFmtId="0" fontId="1" fillId="2" borderId="22" xfId="0" applyNumberFormat="1" applyFont="1" applyFill="1" applyBorder="1" applyAlignment="1" applyProtection="1">
      <alignment horizontal="right" indent="1"/>
    </xf>
    <xf numFmtId="2" fontId="1" fillId="2" borderId="24" xfId="0" applyNumberFormat="1" applyFont="1" applyFill="1" applyBorder="1" applyAlignment="1" applyProtection="1"/>
    <xf numFmtId="0" fontId="1" fillId="2" borderId="19" xfId="0" applyNumberFormat="1" applyFont="1" applyFill="1" applyBorder="1" applyAlignment="1" applyProtection="1">
      <alignment horizontal="left" indent="1"/>
    </xf>
    <xf numFmtId="0" fontId="1" fillId="2" borderId="20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indent="1"/>
    </xf>
    <xf numFmtId="0" fontId="1" fillId="2" borderId="21" xfId="0" applyNumberFormat="1" applyFont="1" applyFill="1" applyBorder="1" applyAlignment="1" applyProtection="1">
      <alignment horizontal="right"/>
    </xf>
    <xf numFmtId="0" fontId="7" fillId="2" borderId="0" xfId="0" applyNumberFormat="1" applyFont="1" applyFill="1" applyBorder="1" applyAlignment="1" applyProtection="1">
      <alignment horizontal="right" indent="1"/>
    </xf>
    <xf numFmtId="0" fontId="1" fillId="2" borderId="25" xfId="0" applyNumberFormat="1" applyFont="1" applyFill="1" applyBorder="1" applyAlignment="1" applyProtection="1"/>
    <xf numFmtId="0" fontId="7" fillId="2" borderId="26" xfId="0" applyNumberFormat="1" applyFont="1" applyFill="1" applyBorder="1" applyAlignment="1" applyProtection="1"/>
    <xf numFmtId="0" fontId="7" fillId="2" borderId="26" xfId="0" applyNumberFormat="1" applyFont="1" applyFill="1" applyBorder="1" applyAlignment="1" applyProtection="1">
      <alignment horizontal="right"/>
    </xf>
    <xf numFmtId="0" fontId="1" fillId="2" borderId="27" xfId="0" applyNumberFormat="1" applyFont="1" applyFill="1" applyBorder="1" applyAlignment="1" applyProtection="1">
      <alignment horizontal="right"/>
    </xf>
    <xf numFmtId="169" fontId="1" fillId="2" borderId="24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E3FF-727F-4A21-BFB8-3722EFB06AB9}">
  <dimension ref="A1:I11"/>
  <sheetViews>
    <sheetView workbookViewId="0">
      <selection activeCell="F27" sqref="F27"/>
    </sheetView>
  </sheetViews>
  <sheetFormatPr defaultRowHeight="14.4" x14ac:dyDescent="0.3"/>
  <sheetData>
    <row r="1" spans="1:9" x14ac:dyDescent="0.3">
      <c r="A1" s="40">
        <v>46079</v>
      </c>
      <c r="B1" s="13" t="s">
        <v>0</v>
      </c>
      <c r="C1" s="13"/>
      <c r="D1" s="13"/>
      <c r="E1" s="12"/>
      <c r="F1" s="12"/>
      <c r="G1" s="12"/>
      <c r="H1" s="12"/>
      <c r="I1" s="12"/>
    </row>
    <row r="2" spans="1:9" x14ac:dyDescent="0.3">
      <c r="A2" s="40">
        <v>46081</v>
      </c>
      <c r="B2" s="13" t="s">
        <v>1</v>
      </c>
      <c r="C2" s="13"/>
      <c r="D2" s="13"/>
      <c r="E2" s="12"/>
      <c r="F2" s="12"/>
      <c r="G2" s="12"/>
      <c r="H2" s="12"/>
      <c r="I2" s="12"/>
    </row>
    <row r="3" spans="1:9" x14ac:dyDescent="0.3">
      <c r="A3" s="13"/>
      <c r="B3" s="13"/>
      <c r="C3" s="13"/>
      <c r="D3" s="13"/>
      <c r="E3" s="12"/>
      <c r="F3" s="12"/>
      <c r="G3" s="12"/>
      <c r="H3" s="12"/>
      <c r="I3" s="12"/>
    </row>
    <row r="4" spans="1:9" x14ac:dyDescent="0.3">
      <c r="A4" s="13"/>
      <c r="B4" s="13" t="s">
        <v>2</v>
      </c>
      <c r="C4" s="13"/>
      <c r="D4" s="13"/>
      <c r="E4" s="12"/>
      <c r="F4" s="12"/>
      <c r="G4" s="12"/>
      <c r="H4" s="12"/>
      <c r="I4" s="12"/>
    </row>
    <row r="5" spans="1:9" x14ac:dyDescent="0.3">
      <c r="A5" s="13"/>
      <c r="B5" s="13" t="s">
        <v>3</v>
      </c>
      <c r="C5" s="13"/>
      <c r="D5" s="13"/>
      <c r="E5" s="12"/>
      <c r="F5" s="12"/>
      <c r="G5" s="12"/>
      <c r="H5" s="12"/>
      <c r="I5" s="12"/>
    </row>
    <row r="6" spans="1:9" x14ac:dyDescent="0.3">
      <c r="A6" s="13"/>
      <c r="B6" s="13" t="s">
        <v>4</v>
      </c>
      <c r="C6" s="13"/>
      <c r="D6" s="13"/>
      <c r="E6" s="12"/>
      <c r="F6" s="12"/>
      <c r="G6" s="12"/>
      <c r="H6" s="12"/>
      <c r="I6" s="12"/>
    </row>
    <row r="7" spans="1:9" x14ac:dyDescent="0.3">
      <c r="A7" s="13"/>
      <c r="B7" s="13" t="s">
        <v>5</v>
      </c>
      <c r="C7" s="13"/>
      <c r="D7" s="13"/>
      <c r="E7" s="12"/>
      <c r="F7" s="12"/>
      <c r="G7" s="12"/>
      <c r="H7" s="12"/>
      <c r="I7" s="12"/>
    </row>
    <row r="8" spans="1:9" x14ac:dyDescent="0.3">
      <c r="A8" s="13"/>
      <c r="B8" s="13"/>
      <c r="C8" s="13"/>
      <c r="D8" s="13"/>
      <c r="E8" s="12"/>
      <c r="F8" s="12"/>
      <c r="G8" s="12"/>
      <c r="H8" s="12"/>
      <c r="I8" s="12"/>
    </row>
    <row r="9" spans="1:9" x14ac:dyDescent="0.3">
      <c r="A9" s="13"/>
      <c r="B9" s="13" t="s">
        <v>6</v>
      </c>
      <c r="C9" s="13"/>
      <c r="D9" s="13"/>
      <c r="E9" s="12"/>
      <c r="F9" s="12"/>
      <c r="G9" s="12"/>
      <c r="H9" s="12"/>
      <c r="I9" s="12"/>
    </row>
    <row r="10" spans="1:9" x14ac:dyDescent="0.3">
      <c r="A10" s="13"/>
      <c r="B10" s="13" t="s">
        <v>7</v>
      </c>
      <c r="C10" s="13"/>
      <c r="D10" s="13"/>
      <c r="E10" s="12"/>
      <c r="F10" s="12"/>
      <c r="G10" s="12"/>
      <c r="H10" s="12"/>
      <c r="I10" s="12"/>
    </row>
    <row r="11" spans="1:9" x14ac:dyDescent="0.3">
      <c r="A11" s="13"/>
      <c r="B11" s="13" t="s">
        <v>8</v>
      </c>
      <c r="C11" s="13"/>
      <c r="D11" s="13"/>
      <c r="E11" s="12"/>
      <c r="F11" s="12"/>
      <c r="G11" s="12"/>
      <c r="H11" s="12"/>
      <c r="I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3EB5-8AC9-4BBE-B6E7-AA5E5069CB29}">
  <dimension ref="A1:F97"/>
  <sheetViews>
    <sheetView workbookViewId="0">
      <selection sqref="A1:F97"/>
    </sheetView>
  </sheetViews>
  <sheetFormatPr defaultRowHeight="14.4" x14ac:dyDescent="0.3"/>
  <cols>
    <col min="1" max="1" width="10.33203125" bestFit="1" customWidth="1"/>
    <col min="2" max="2" width="57.44140625" customWidth="1"/>
    <col min="3" max="3" width="2.88671875" bestFit="1" customWidth="1"/>
    <col min="4" max="4" width="4.21875" bestFit="1" customWidth="1"/>
    <col min="5" max="5" width="13.5546875" customWidth="1"/>
    <col min="6" max="6" width="13.44140625" customWidth="1"/>
  </cols>
  <sheetData>
    <row r="1" spans="1:6" ht="61.2" customHeight="1" x14ac:dyDescent="0.3">
      <c r="A1" s="47" t="s">
        <v>9</v>
      </c>
      <c r="B1" s="47"/>
      <c r="C1" s="47"/>
      <c r="D1" s="47"/>
      <c r="E1" s="47"/>
      <c r="F1" s="47"/>
    </row>
    <row r="2" spans="1:6" x14ac:dyDescent="0.3">
      <c r="A2" s="13"/>
      <c r="B2" s="13"/>
      <c r="C2" s="13"/>
      <c r="D2" s="13"/>
      <c r="E2" s="14"/>
      <c r="F2" s="14"/>
    </row>
    <row r="3" spans="1:6" ht="15.6" x14ac:dyDescent="0.3">
      <c r="A3" s="1" t="s">
        <v>10</v>
      </c>
      <c r="B3" s="2" t="s">
        <v>11</v>
      </c>
      <c r="C3" s="1"/>
      <c r="D3" s="2" t="s">
        <v>12</v>
      </c>
      <c r="E3" s="3" t="s">
        <v>13</v>
      </c>
      <c r="F3" s="4" t="s">
        <v>14</v>
      </c>
    </row>
    <row r="4" spans="1:6" x14ac:dyDescent="0.3">
      <c r="A4" s="31">
        <v>46023</v>
      </c>
      <c r="B4" s="32" t="s">
        <v>15</v>
      </c>
      <c r="C4" s="33" t="s">
        <v>16</v>
      </c>
      <c r="D4" s="32"/>
      <c r="E4" s="34">
        <v>600000</v>
      </c>
      <c r="F4" s="35"/>
    </row>
    <row r="5" spans="1:6" x14ac:dyDescent="0.3">
      <c r="A5" s="17"/>
      <c r="B5" s="13" t="s">
        <v>17</v>
      </c>
      <c r="C5" s="17" t="s">
        <v>16</v>
      </c>
      <c r="D5" s="13"/>
      <c r="E5" s="16">
        <v>700000</v>
      </c>
      <c r="F5" s="36"/>
    </row>
    <row r="6" spans="1:6" x14ac:dyDescent="0.3">
      <c r="A6" s="17"/>
      <c r="B6" s="13" t="s">
        <v>18</v>
      </c>
      <c r="C6" s="17" t="s">
        <v>16</v>
      </c>
      <c r="D6" s="13"/>
      <c r="E6" s="16">
        <v>200000</v>
      </c>
      <c r="F6" s="36"/>
    </row>
    <row r="7" spans="1:6" x14ac:dyDescent="0.3">
      <c r="A7" s="17"/>
      <c r="B7" s="13" t="s">
        <v>19</v>
      </c>
      <c r="C7" s="17"/>
      <c r="D7" s="13"/>
      <c r="E7" s="16"/>
      <c r="F7" s="36">
        <f>SUM(E4:E6)</f>
        <v>1500000</v>
      </c>
    </row>
    <row r="8" spans="1:6" x14ac:dyDescent="0.3">
      <c r="A8" s="22"/>
      <c r="B8" s="37" t="s">
        <v>20</v>
      </c>
      <c r="C8" s="22"/>
      <c r="D8" s="37"/>
      <c r="E8" s="20"/>
      <c r="F8" s="38"/>
    </row>
    <row r="9" spans="1:6" x14ac:dyDescent="0.3">
      <c r="A9" s="39">
        <v>46024</v>
      </c>
      <c r="B9" s="13" t="s">
        <v>21</v>
      </c>
      <c r="C9" s="17" t="s">
        <v>16</v>
      </c>
      <c r="D9" s="13"/>
      <c r="E9" s="16">
        <v>250000</v>
      </c>
      <c r="F9" s="36"/>
    </row>
    <row r="10" spans="1:6" x14ac:dyDescent="0.3">
      <c r="A10" s="17"/>
      <c r="B10" s="13" t="s">
        <v>22</v>
      </c>
      <c r="C10" s="17"/>
      <c r="D10" s="13"/>
      <c r="E10" s="16"/>
      <c r="F10" s="36">
        <v>250000</v>
      </c>
    </row>
    <row r="11" spans="1:6" x14ac:dyDescent="0.3">
      <c r="A11" s="22"/>
      <c r="B11" s="37" t="s">
        <v>23</v>
      </c>
      <c r="C11" s="22"/>
      <c r="D11" s="37"/>
      <c r="E11" s="20"/>
      <c r="F11" s="38"/>
    </row>
    <row r="12" spans="1:6" x14ac:dyDescent="0.3">
      <c r="A12" s="39">
        <v>46025</v>
      </c>
      <c r="B12" s="13" t="s">
        <v>24</v>
      </c>
      <c r="C12" s="17" t="s">
        <v>16</v>
      </c>
      <c r="D12" s="13"/>
      <c r="E12" s="16">
        <v>720000</v>
      </c>
      <c r="F12" s="36"/>
    </row>
    <row r="13" spans="1:6" x14ac:dyDescent="0.3">
      <c r="A13" s="17"/>
      <c r="B13" s="13" t="s">
        <v>25</v>
      </c>
      <c r="C13" s="17"/>
      <c r="D13" s="13"/>
      <c r="E13" s="16"/>
      <c r="F13" s="36">
        <v>720000</v>
      </c>
    </row>
    <row r="14" spans="1:6" x14ac:dyDescent="0.3">
      <c r="A14" s="22"/>
      <c r="B14" s="37" t="s">
        <v>26</v>
      </c>
      <c r="C14" s="22"/>
      <c r="D14" s="37"/>
      <c r="E14" s="20"/>
      <c r="F14" s="38"/>
    </row>
    <row r="15" spans="1:6" x14ac:dyDescent="0.3">
      <c r="A15" s="39">
        <v>46027</v>
      </c>
      <c r="B15" s="13" t="s">
        <v>15</v>
      </c>
      <c r="C15" s="17" t="s">
        <v>16</v>
      </c>
      <c r="D15" s="13"/>
      <c r="E15" s="16">
        <v>950000</v>
      </c>
      <c r="F15" s="36"/>
    </row>
    <row r="16" spans="1:6" x14ac:dyDescent="0.3">
      <c r="A16" s="17"/>
      <c r="B16" s="13" t="s">
        <v>27</v>
      </c>
      <c r="C16" s="17"/>
      <c r="D16" s="13"/>
      <c r="E16" s="16"/>
      <c r="F16" s="36">
        <v>950000</v>
      </c>
    </row>
    <row r="17" spans="1:6" x14ac:dyDescent="0.3">
      <c r="A17" s="22"/>
      <c r="B17" s="37" t="s">
        <v>28</v>
      </c>
      <c r="C17" s="22"/>
      <c r="D17" s="37"/>
      <c r="E17" s="20"/>
      <c r="F17" s="38"/>
    </row>
    <row r="18" spans="1:6" x14ac:dyDescent="0.3">
      <c r="A18" s="39">
        <v>46029</v>
      </c>
      <c r="B18" s="13" t="s">
        <v>17</v>
      </c>
      <c r="C18" s="17" t="s">
        <v>16</v>
      </c>
      <c r="D18" s="13"/>
      <c r="E18" s="16">
        <v>500000</v>
      </c>
      <c r="F18" s="36"/>
    </row>
    <row r="19" spans="1:6" x14ac:dyDescent="0.3">
      <c r="A19" s="17"/>
      <c r="B19" s="13" t="s">
        <v>29</v>
      </c>
      <c r="C19" s="17"/>
      <c r="D19" s="13"/>
      <c r="E19" s="16"/>
      <c r="F19" s="36">
        <v>500000</v>
      </c>
    </row>
    <row r="20" spans="1:6" x14ac:dyDescent="0.3">
      <c r="A20" s="22"/>
      <c r="B20" s="37" t="s">
        <v>30</v>
      </c>
      <c r="C20" s="22"/>
      <c r="D20" s="37"/>
      <c r="E20" s="20"/>
      <c r="F20" s="38"/>
    </row>
    <row r="21" spans="1:6" x14ac:dyDescent="0.3">
      <c r="A21" s="39">
        <v>46031</v>
      </c>
      <c r="B21" s="13" t="s">
        <v>31</v>
      </c>
      <c r="C21" s="17" t="s">
        <v>16</v>
      </c>
      <c r="D21" s="13"/>
      <c r="E21" s="16">
        <v>300000</v>
      </c>
      <c r="F21" s="36"/>
    </row>
    <row r="22" spans="1:6" x14ac:dyDescent="0.3">
      <c r="A22" s="17"/>
      <c r="B22" s="13" t="s">
        <v>29</v>
      </c>
      <c r="C22" s="17"/>
      <c r="D22" s="13"/>
      <c r="E22" s="16"/>
      <c r="F22" s="36">
        <v>300000</v>
      </c>
    </row>
    <row r="23" spans="1:6" x14ac:dyDescent="0.3">
      <c r="A23" s="22"/>
      <c r="B23" s="37" t="s">
        <v>32</v>
      </c>
      <c r="C23" s="22"/>
      <c r="D23" s="37"/>
      <c r="E23" s="20"/>
      <c r="F23" s="38"/>
    </row>
    <row r="24" spans="1:6" x14ac:dyDescent="0.3">
      <c r="A24" s="39">
        <v>46033</v>
      </c>
      <c r="B24" s="13" t="s">
        <v>17</v>
      </c>
      <c r="C24" s="17" t="s">
        <v>16</v>
      </c>
      <c r="D24" s="13"/>
      <c r="E24" s="16">
        <v>75000</v>
      </c>
      <c r="F24" s="36"/>
    </row>
    <row r="25" spans="1:6" x14ac:dyDescent="0.3">
      <c r="A25" s="17"/>
      <c r="B25" s="13" t="s">
        <v>33</v>
      </c>
      <c r="C25" s="17"/>
      <c r="D25" s="13"/>
      <c r="E25" s="16"/>
      <c r="F25" s="36">
        <v>75000</v>
      </c>
    </row>
    <row r="26" spans="1:6" x14ac:dyDescent="0.3">
      <c r="A26" s="22"/>
      <c r="B26" s="37" t="s">
        <v>34</v>
      </c>
      <c r="C26" s="22"/>
      <c r="D26" s="37"/>
      <c r="E26" s="20"/>
      <c r="F26" s="38"/>
    </row>
    <row r="27" spans="1:6" x14ac:dyDescent="0.3">
      <c r="A27" s="39">
        <v>46035</v>
      </c>
      <c r="B27" s="13" t="s">
        <v>24</v>
      </c>
      <c r="C27" s="17" t="s">
        <v>16</v>
      </c>
      <c r="D27" s="13"/>
      <c r="E27" s="16">
        <v>250000</v>
      </c>
      <c r="F27" s="36"/>
    </row>
    <row r="28" spans="1:6" x14ac:dyDescent="0.3">
      <c r="A28" s="17"/>
      <c r="B28" s="13" t="s">
        <v>29</v>
      </c>
      <c r="C28" s="17"/>
      <c r="D28" s="13"/>
      <c r="E28" s="16"/>
      <c r="F28" s="36">
        <v>250000</v>
      </c>
    </row>
    <row r="29" spans="1:6" x14ac:dyDescent="0.3">
      <c r="A29" s="22"/>
      <c r="B29" s="37" t="s">
        <v>35</v>
      </c>
      <c r="C29" s="22"/>
      <c r="D29" s="37"/>
      <c r="E29" s="20"/>
      <c r="F29" s="38"/>
    </row>
    <row r="30" spans="1:6" x14ac:dyDescent="0.3">
      <c r="A30" s="39">
        <v>46037</v>
      </c>
      <c r="B30" s="13" t="s">
        <v>36</v>
      </c>
      <c r="C30" s="17" t="s">
        <v>16</v>
      </c>
      <c r="D30" s="13"/>
      <c r="E30" s="16">
        <v>475000</v>
      </c>
      <c r="F30" s="36"/>
    </row>
    <row r="31" spans="1:6" x14ac:dyDescent="0.3">
      <c r="A31" s="17"/>
      <c r="B31" s="13" t="s">
        <v>27</v>
      </c>
      <c r="C31" s="17"/>
      <c r="D31" s="13"/>
      <c r="E31" s="16"/>
      <c r="F31" s="36">
        <v>475000</v>
      </c>
    </row>
    <row r="32" spans="1:6" x14ac:dyDescent="0.3">
      <c r="A32" s="22"/>
      <c r="B32" s="37" t="s">
        <v>37</v>
      </c>
      <c r="C32" s="22"/>
      <c r="D32" s="37"/>
      <c r="E32" s="20"/>
      <c r="F32" s="38"/>
    </row>
    <row r="33" spans="1:6" x14ac:dyDescent="0.3">
      <c r="A33" s="39">
        <v>46039</v>
      </c>
      <c r="B33" s="13" t="s">
        <v>17</v>
      </c>
      <c r="C33" s="17" t="s">
        <v>16</v>
      </c>
      <c r="D33" s="13"/>
      <c r="E33" s="16">
        <v>275000</v>
      </c>
      <c r="F33" s="36"/>
    </row>
    <row r="34" spans="1:6" x14ac:dyDescent="0.3">
      <c r="A34" s="17"/>
      <c r="B34" s="13" t="s">
        <v>38</v>
      </c>
      <c r="C34" s="17"/>
      <c r="D34" s="13"/>
      <c r="E34" s="16"/>
      <c r="F34" s="36">
        <v>275000</v>
      </c>
    </row>
    <row r="35" spans="1:6" x14ac:dyDescent="0.3">
      <c r="A35" s="22"/>
      <c r="B35" s="37" t="s">
        <v>39</v>
      </c>
      <c r="C35" s="22"/>
      <c r="D35" s="37"/>
      <c r="E35" s="20"/>
      <c r="F35" s="20"/>
    </row>
    <row r="36" spans="1:6" x14ac:dyDescent="0.3">
      <c r="A36" s="39">
        <v>46041</v>
      </c>
      <c r="B36" s="13" t="s">
        <v>40</v>
      </c>
      <c r="C36" s="17" t="s">
        <v>16</v>
      </c>
      <c r="D36" s="13"/>
      <c r="E36" s="16">
        <v>200000</v>
      </c>
      <c r="F36" s="36"/>
    </row>
    <row r="37" spans="1:6" x14ac:dyDescent="0.3">
      <c r="A37" s="17"/>
      <c r="B37" s="13" t="s">
        <v>41</v>
      </c>
      <c r="C37" s="17"/>
      <c r="D37" s="13"/>
      <c r="E37" s="16"/>
      <c r="F37" s="36">
        <v>200000</v>
      </c>
    </row>
    <row r="38" spans="1:6" x14ac:dyDescent="0.3">
      <c r="A38" s="22"/>
      <c r="B38" s="37" t="s">
        <v>42</v>
      </c>
      <c r="C38" s="22"/>
      <c r="D38" s="37"/>
      <c r="E38" s="20"/>
      <c r="F38" s="38"/>
    </row>
    <row r="39" spans="1:6" x14ac:dyDescent="0.3">
      <c r="A39" s="39">
        <v>46043</v>
      </c>
      <c r="B39" s="13" t="s">
        <v>24</v>
      </c>
      <c r="C39" s="17" t="s">
        <v>16</v>
      </c>
      <c r="D39" s="13"/>
      <c r="E39" s="16">
        <v>50000</v>
      </c>
      <c r="F39" s="36"/>
    </row>
    <row r="40" spans="1:6" x14ac:dyDescent="0.3">
      <c r="A40" s="17"/>
      <c r="B40" s="13" t="s">
        <v>25</v>
      </c>
      <c r="C40" s="17"/>
      <c r="D40" s="13"/>
      <c r="E40" s="16"/>
      <c r="F40" s="36">
        <v>50000</v>
      </c>
    </row>
    <row r="41" spans="1:6" x14ac:dyDescent="0.3">
      <c r="A41" s="22"/>
      <c r="B41" s="37" t="s">
        <v>26</v>
      </c>
      <c r="C41" s="22"/>
      <c r="D41" s="37"/>
      <c r="E41" s="20"/>
      <c r="F41" s="38"/>
    </row>
    <row r="42" spans="1:6" x14ac:dyDescent="0.3">
      <c r="A42" s="39">
        <v>46045</v>
      </c>
      <c r="B42" s="13" t="s">
        <v>15</v>
      </c>
      <c r="C42" s="17" t="s">
        <v>16</v>
      </c>
      <c r="D42" s="13"/>
      <c r="E42" s="16">
        <v>10000</v>
      </c>
      <c r="F42" s="36"/>
    </row>
    <row r="43" spans="1:6" x14ac:dyDescent="0.3">
      <c r="A43" s="17"/>
      <c r="B43" s="13" t="s">
        <v>22</v>
      </c>
      <c r="C43" s="17"/>
      <c r="D43" s="13"/>
      <c r="E43" s="16"/>
      <c r="F43" s="36">
        <v>10000</v>
      </c>
    </row>
    <row r="44" spans="1:6" x14ac:dyDescent="0.3">
      <c r="A44" s="22"/>
      <c r="B44" s="37" t="s">
        <v>43</v>
      </c>
      <c r="C44" s="22"/>
      <c r="D44" s="37"/>
      <c r="E44" s="20"/>
      <c r="F44" s="38"/>
    </row>
    <row r="45" spans="1:6" x14ac:dyDescent="0.3">
      <c r="A45" s="39">
        <v>46047</v>
      </c>
      <c r="B45" s="13" t="s">
        <v>15</v>
      </c>
      <c r="C45" s="17" t="s">
        <v>16</v>
      </c>
      <c r="D45" s="13"/>
      <c r="E45" s="16">
        <v>55000</v>
      </c>
      <c r="F45" s="36"/>
    </row>
    <row r="46" spans="1:6" x14ac:dyDescent="0.3">
      <c r="A46" s="17"/>
      <c r="B46" s="13" t="s">
        <v>33</v>
      </c>
      <c r="C46" s="17"/>
      <c r="D46" s="13"/>
      <c r="E46" s="16"/>
      <c r="F46" s="36">
        <v>55000</v>
      </c>
    </row>
    <row r="47" spans="1:6" x14ac:dyDescent="0.3">
      <c r="A47" s="22"/>
      <c r="B47" s="37" t="s">
        <v>44</v>
      </c>
      <c r="C47" s="22"/>
      <c r="D47" s="37"/>
      <c r="E47" s="20"/>
      <c r="F47" s="38"/>
    </row>
    <row r="48" spans="1:6" x14ac:dyDescent="0.3">
      <c r="A48" s="39">
        <v>46049</v>
      </c>
      <c r="B48" s="13" t="s">
        <v>31</v>
      </c>
      <c r="C48" s="17" t="s">
        <v>16</v>
      </c>
      <c r="D48" s="13"/>
      <c r="E48" s="16">
        <v>70000</v>
      </c>
      <c r="F48" s="36"/>
    </row>
    <row r="49" spans="1:6" x14ac:dyDescent="0.3">
      <c r="A49" s="17"/>
      <c r="B49" s="13" t="s">
        <v>22</v>
      </c>
      <c r="C49" s="17"/>
      <c r="D49" s="13"/>
      <c r="E49" s="16"/>
      <c r="F49" s="36">
        <v>70000</v>
      </c>
    </row>
    <row r="50" spans="1:6" x14ac:dyDescent="0.3">
      <c r="A50" s="22"/>
      <c r="B50" s="37" t="s">
        <v>45</v>
      </c>
      <c r="C50" s="22"/>
      <c r="D50" s="37"/>
      <c r="E50" s="20"/>
      <c r="F50" s="38"/>
    </row>
    <row r="51" spans="1:6" x14ac:dyDescent="0.3">
      <c r="A51" s="39">
        <v>46051</v>
      </c>
      <c r="B51" s="13" t="s">
        <v>15</v>
      </c>
      <c r="C51" s="17" t="s">
        <v>16</v>
      </c>
      <c r="D51" s="13"/>
      <c r="E51" s="16">
        <v>90000</v>
      </c>
      <c r="F51" s="36"/>
    </row>
    <row r="52" spans="1:6" x14ac:dyDescent="0.3">
      <c r="A52" s="17"/>
      <c r="B52" s="13" t="s">
        <v>46</v>
      </c>
      <c r="C52" s="17"/>
      <c r="D52" s="13"/>
      <c r="E52" s="16"/>
      <c r="F52" s="36">
        <v>90000</v>
      </c>
    </row>
    <row r="53" spans="1:6" x14ac:dyDescent="0.3">
      <c r="A53" s="22"/>
      <c r="B53" s="37" t="s">
        <v>47</v>
      </c>
      <c r="C53" s="22"/>
      <c r="D53" s="37"/>
      <c r="E53" s="20"/>
      <c r="F53" s="38"/>
    </row>
    <row r="54" spans="1:6" x14ac:dyDescent="0.3">
      <c r="A54" s="39">
        <v>46053</v>
      </c>
      <c r="B54" s="13" t="s">
        <v>48</v>
      </c>
      <c r="C54" s="17" t="s">
        <v>16</v>
      </c>
      <c r="D54" s="13"/>
      <c r="E54" s="16">
        <v>50000</v>
      </c>
      <c r="F54" s="36"/>
    </row>
    <row r="55" spans="1:6" x14ac:dyDescent="0.3">
      <c r="A55" s="17"/>
      <c r="B55" s="13" t="s">
        <v>22</v>
      </c>
      <c r="C55" s="17"/>
      <c r="D55" s="13"/>
      <c r="E55" s="16"/>
      <c r="F55" s="36">
        <v>50000</v>
      </c>
    </row>
    <row r="56" spans="1:6" x14ac:dyDescent="0.3">
      <c r="A56" s="22"/>
      <c r="B56" s="37" t="s">
        <v>49</v>
      </c>
      <c r="C56" s="22"/>
      <c r="D56" s="37"/>
      <c r="E56" s="20"/>
      <c r="F56" s="38"/>
    </row>
    <row r="57" spans="1:6" x14ac:dyDescent="0.3">
      <c r="A57" s="39">
        <v>46055</v>
      </c>
      <c r="B57" s="13" t="s">
        <v>24</v>
      </c>
      <c r="C57" s="17" t="s">
        <v>16</v>
      </c>
      <c r="D57" s="13"/>
      <c r="E57" s="16">
        <v>25000</v>
      </c>
      <c r="F57" s="36"/>
    </row>
    <row r="58" spans="1:6" x14ac:dyDescent="0.3">
      <c r="A58" s="17"/>
      <c r="B58" s="13" t="s">
        <v>29</v>
      </c>
      <c r="C58" s="17"/>
      <c r="D58" s="13"/>
      <c r="E58" s="16"/>
      <c r="F58" s="36">
        <v>25000</v>
      </c>
    </row>
    <row r="59" spans="1:6" x14ac:dyDescent="0.3">
      <c r="A59" s="22"/>
      <c r="B59" s="37" t="s">
        <v>35</v>
      </c>
      <c r="C59" s="22"/>
      <c r="D59" s="37"/>
      <c r="E59" s="20"/>
      <c r="F59" s="38"/>
    </row>
    <row r="60" spans="1:6" x14ac:dyDescent="0.3">
      <c r="A60" s="39">
        <v>46057</v>
      </c>
      <c r="B60" s="13" t="s">
        <v>36</v>
      </c>
      <c r="C60" s="17" t="s">
        <v>16</v>
      </c>
      <c r="D60" s="13"/>
      <c r="E60" s="16">
        <v>47000</v>
      </c>
      <c r="F60" s="36"/>
    </row>
    <row r="61" spans="1:6" x14ac:dyDescent="0.3">
      <c r="A61" s="17"/>
      <c r="B61" s="13" t="s">
        <v>27</v>
      </c>
      <c r="C61" s="17"/>
      <c r="D61" s="13"/>
      <c r="E61" s="16"/>
      <c r="F61" s="36">
        <v>47000</v>
      </c>
    </row>
    <row r="62" spans="1:6" x14ac:dyDescent="0.3">
      <c r="A62" s="22"/>
      <c r="B62" s="37" t="s">
        <v>37</v>
      </c>
      <c r="C62" s="22"/>
      <c r="D62" s="37"/>
      <c r="E62" s="20"/>
      <c r="F62" s="38"/>
    </row>
    <row r="63" spans="1:6" x14ac:dyDescent="0.3">
      <c r="A63" s="39">
        <v>46059</v>
      </c>
      <c r="B63" s="13" t="s">
        <v>15</v>
      </c>
      <c r="C63" s="17" t="s">
        <v>16</v>
      </c>
      <c r="D63" s="13"/>
      <c r="E63" s="16">
        <v>15000</v>
      </c>
      <c r="F63" s="36"/>
    </row>
    <row r="64" spans="1:6" x14ac:dyDescent="0.3">
      <c r="A64" s="17"/>
      <c r="B64" s="13" t="s">
        <v>22</v>
      </c>
      <c r="C64" s="17"/>
      <c r="D64" s="13"/>
      <c r="E64" s="16"/>
      <c r="F64" s="36">
        <v>15000</v>
      </c>
    </row>
    <row r="65" spans="1:6" x14ac:dyDescent="0.3">
      <c r="A65" s="22"/>
      <c r="B65" s="37" t="s">
        <v>43</v>
      </c>
      <c r="C65" s="22"/>
      <c r="D65" s="37"/>
      <c r="E65" s="20"/>
      <c r="F65" s="38"/>
    </row>
    <row r="66" spans="1:6" x14ac:dyDescent="0.3">
      <c r="A66" s="39">
        <v>46061</v>
      </c>
      <c r="B66" s="13" t="s">
        <v>40</v>
      </c>
      <c r="C66" s="17" t="s">
        <v>16</v>
      </c>
      <c r="D66" s="13"/>
      <c r="E66" s="16">
        <v>5000</v>
      </c>
      <c r="F66" s="36"/>
    </row>
    <row r="67" spans="1:6" x14ac:dyDescent="0.3">
      <c r="A67" s="17"/>
      <c r="B67" s="13" t="s">
        <v>50</v>
      </c>
      <c r="C67" s="17"/>
      <c r="D67" s="13"/>
      <c r="E67" s="16"/>
      <c r="F67" s="36">
        <v>5000</v>
      </c>
    </row>
    <row r="68" spans="1:6" x14ac:dyDescent="0.3">
      <c r="A68" s="22"/>
      <c r="B68" s="37" t="s">
        <v>51</v>
      </c>
      <c r="C68" s="22"/>
      <c r="D68" s="37"/>
      <c r="E68" s="20"/>
      <c r="F68" s="38"/>
    </row>
    <row r="69" spans="1:6" x14ac:dyDescent="0.3">
      <c r="A69" s="39">
        <v>46063</v>
      </c>
      <c r="B69" s="13" t="s">
        <v>24</v>
      </c>
      <c r="C69" s="17" t="s">
        <v>16</v>
      </c>
      <c r="D69" s="13"/>
      <c r="E69" s="16">
        <v>75000</v>
      </c>
      <c r="F69" s="36"/>
    </row>
    <row r="70" spans="1:6" x14ac:dyDescent="0.3">
      <c r="A70" s="17"/>
      <c r="B70" s="13" t="s">
        <v>25</v>
      </c>
      <c r="C70" s="17"/>
      <c r="D70" s="13"/>
      <c r="E70" s="16"/>
      <c r="F70" s="36">
        <v>75000</v>
      </c>
    </row>
    <row r="71" spans="1:6" x14ac:dyDescent="0.3">
      <c r="A71" s="22"/>
      <c r="B71" s="37" t="s">
        <v>26</v>
      </c>
      <c r="C71" s="22"/>
      <c r="D71" s="37"/>
      <c r="E71" s="20"/>
      <c r="F71" s="38"/>
    </row>
    <row r="72" spans="1:6" x14ac:dyDescent="0.3">
      <c r="A72" s="39">
        <v>46065</v>
      </c>
      <c r="B72" s="13" t="s">
        <v>15</v>
      </c>
      <c r="C72" s="17" t="s">
        <v>16</v>
      </c>
      <c r="D72" s="13"/>
      <c r="E72" s="16">
        <v>100000</v>
      </c>
      <c r="F72" s="36"/>
    </row>
    <row r="73" spans="1:6" x14ac:dyDescent="0.3">
      <c r="A73" s="17"/>
      <c r="B73" s="13" t="s">
        <v>27</v>
      </c>
      <c r="C73" s="17"/>
      <c r="D73" s="13"/>
      <c r="E73" s="16"/>
      <c r="F73" s="36">
        <v>100000</v>
      </c>
    </row>
    <row r="74" spans="1:6" x14ac:dyDescent="0.3">
      <c r="A74" s="22"/>
      <c r="B74" s="37" t="s">
        <v>28</v>
      </c>
      <c r="C74" s="22"/>
      <c r="D74" s="37"/>
      <c r="E74" s="20"/>
      <c r="F74" s="38"/>
    </row>
    <row r="75" spans="1:6" x14ac:dyDescent="0.3">
      <c r="A75" s="39">
        <v>46067</v>
      </c>
      <c r="B75" s="13" t="s">
        <v>40</v>
      </c>
      <c r="C75" s="17" t="s">
        <v>16</v>
      </c>
      <c r="D75" s="13"/>
      <c r="E75" s="16">
        <v>35000</v>
      </c>
      <c r="F75" s="36"/>
    </row>
    <row r="76" spans="1:6" x14ac:dyDescent="0.3">
      <c r="A76" s="17"/>
      <c r="B76" s="13" t="s">
        <v>29</v>
      </c>
      <c r="C76" s="17"/>
      <c r="D76" s="13"/>
      <c r="E76" s="16"/>
      <c r="F76" s="36">
        <v>35000</v>
      </c>
    </row>
    <row r="77" spans="1:6" x14ac:dyDescent="0.3">
      <c r="A77" s="22"/>
      <c r="B77" s="37" t="s">
        <v>30</v>
      </c>
      <c r="C77" s="22"/>
      <c r="D77" s="37"/>
      <c r="E77" s="20"/>
      <c r="F77" s="38"/>
    </row>
    <row r="78" spans="1:6" x14ac:dyDescent="0.3">
      <c r="A78" s="39">
        <v>46069</v>
      </c>
      <c r="B78" s="13" t="s">
        <v>24</v>
      </c>
      <c r="C78" s="17" t="s">
        <v>16</v>
      </c>
      <c r="D78" s="13"/>
      <c r="E78" s="16">
        <v>450000</v>
      </c>
      <c r="F78" s="36"/>
    </row>
    <row r="79" spans="1:6" x14ac:dyDescent="0.3">
      <c r="A79" s="17"/>
      <c r="B79" s="13" t="s">
        <v>29</v>
      </c>
      <c r="C79" s="17"/>
      <c r="D79" s="13"/>
      <c r="E79" s="16"/>
      <c r="F79" s="36">
        <v>450000</v>
      </c>
    </row>
    <row r="80" spans="1:6" x14ac:dyDescent="0.3">
      <c r="A80" s="22"/>
      <c r="B80" s="37" t="s">
        <v>35</v>
      </c>
      <c r="C80" s="22"/>
      <c r="D80" s="37"/>
      <c r="E80" s="20"/>
      <c r="F80" s="38"/>
    </row>
    <row r="81" spans="1:6" x14ac:dyDescent="0.3">
      <c r="A81" s="39">
        <v>46071</v>
      </c>
      <c r="B81" s="13" t="s">
        <v>52</v>
      </c>
      <c r="C81" s="17" t="s">
        <v>16</v>
      </c>
      <c r="D81" s="13"/>
      <c r="E81" s="16">
        <v>50000</v>
      </c>
      <c r="F81" s="36"/>
    </row>
    <row r="82" spans="1:6" x14ac:dyDescent="0.3">
      <c r="A82" s="17"/>
      <c r="B82" s="13" t="s">
        <v>29</v>
      </c>
      <c r="C82" s="17"/>
      <c r="D82" s="13"/>
      <c r="E82" s="16"/>
      <c r="F82" s="36">
        <v>50000</v>
      </c>
    </row>
    <row r="83" spans="1:6" x14ac:dyDescent="0.3">
      <c r="A83" s="22"/>
      <c r="B83" s="37" t="s">
        <v>53</v>
      </c>
      <c r="C83" s="22"/>
      <c r="D83" s="37"/>
      <c r="E83" s="20"/>
      <c r="F83" s="38"/>
    </row>
    <row r="84" spans="1:6" x14ac:dyDescent="0.3">
      <c r="A84" s="39">
        <v>46073</v>
      </c>
      <c r="B84" s="13" t="s">
        <v>54</v>
      </c>
      <c r="C84" s="17" t="s">
        <v>16</v>
      </c>
      <c r="D84" s="13"/>
      <c r="E84" s="16">
        <v>60000</v>
      </c>
      <c r="F84" s="36"/>
    </row>
    <row r="85" spans="1:6" x14ac:dyDescent="0.3">
      <c r="A85" s="17"/>
      <c r="B85" s="13" t="s">
        <v>22</v>
      </c>
      <c r="C85" s="17"/>
      <c r="D85" s="13"/>
      <c r="E85" s="16"/>
      <c r="F85" s="36">
        <v>30000</v>
      </c>
    </row>
    <row r="86" spans="1:6" x14ac:dyDescent="0.3">
      <c r="A86" s="17"/>
      <c r="B86" s="13" t="s">
        <v>29</v>
      </c>
      <c r="C86" s="17"/>
      <c r="D86" s="13"/>
      <c r="E86" s="16"/>
      <c r="F86" s="36">
        <v>30000</v>
      </c>
    </row>
    <row r="87" spans="1:6" x14ac:dyDescent="0.3">
      <c r="A87" s="22"/>
      <c r="B87" s="37" t="s">
        <v>55</v>
      </c>
      <c r="C87" s="22"/>
      <c r="D87" s="37"/>
      <c r="E87" s="20"/>
      <c r="F87" s="38"/>
    </row>
    <row r="88" spans="1:6" x14ac:dyDescent="0.3">
      <c r="A88" s="39">
        <v>46077</v>
      </c>
      <c r="B88" s="13" t="s">
        <v>36</v>
      </c>
      <c r="C88" s="17"/>
      <c r="D88" s="13"/>
      <c r="E88" s="16">
        <v>675000</v>
      </c>
      <c r="F88" s="36"/>
    </row>
    <row r="89" spans="1:6" x14ac:dyDescent="0.3">
      <c r="A89" s="17"/>
      <c r="B89" s="13" t="s">
        <v>27</v>
      </c>
      <c r="C89" s="17"/>
      <c r="D89" s="13"/>
      <c r="E89" s="16"/>
      <c r="F89" s="36">
        <v>675000</v>
      </c>
    </row>
    <row r="90" spans="1:6" x14ac:dyDescent="0.3">
      <c r="A90" s="22"/>
      <c r="B90" s="37" t="s">
        <v>37</v>
      </c>
      <c r="C90" s="22"/>
      <c r="D90" s="37"/>
      <c r="E90" s="20"/>
      <c r="F90" s="38"/>
    </row>
    <row r="91" spans="1:6" x14ac:dyDescent="0.3">
      <c r="A91" s="39">
        <v>46079</v>
      </c>
      <c r="B91" s="13" t="s">
        <v>56</v>
      </c>
      <c r="C91" s="17" t="s">
        <v>16</v>
      </c>
      <c r="D91" s="13"/>
      <c r="E91" s="16">
        <v>50000</v>
      </c>
      <c r="F91" s="36"/>
    </row>
    <row r="92" spans="1:6" x14ac:dyDescent="0.3">
      <c r="A92" s="17"/>
      <c r="B92" s="13" t="s">
        <v>22</v>
      </c>
      <c r="C92" s="17"/>
      <c r="D92" s="13"/>
      <c r="E92" s="16"/>
      <c r="F92" s="36">
        <v>50000</v>
      </c>
    </row>
    <row r="93" spans="1:6" x14ac:dyDescent="0.3">
      <c r="A93" s="22"/>
      <c r="B93" s="37" t="s">
        <v>57</v>
      </c>
      <c r="C93" s="22"/>
      <c r="D93" s="37"/>
      <c r="E93" s="20"/>
      <c r="F93" s="38"/>
    </row>
    <row r="94" spans="1:6" x14ac:dyDescent="0.3">
      <c r="A94" s="39">
        <v>46081</v>
      </c>
      <c r="B94" s="13" t="s">
        <v>54</v>
      </c>
      <c r="C94" s="17" t="s">
        <v>16</v>
      </c>
      <c r="D94" s="13"/>
      <c r="E94" s="16">
        <v>30000</v>
      </c>
      <c r="F94" s="36"/>
    </row>
    <row r="95" spans="1:6" x14ac:dyDescent="0.3">
      <c r="A95" s="17"/>
      <c r="B95" s="13" t="s">
        <v>29</v>
      </c>
      <c r="C95" s="17"/>
      <c r="D95" s="13"/>
      <c r="E95" s="16"/>
      <c r="F95" s="36">
        <v>30000</v>
      </c>
    </row>
    <row r="96" spans="1:6" x14ac:dyDescent="0.3">
      <c r="A96" s="22"/>
      <c r="B96" s="37" t="s">
        <v>58</v>
      </c>
      <c r="C96" s="22"/>
      <c r="D96" s="37"/>
      <c r="E96" s="20"/>
      <c r="F96" s="38"/>
    </row>
    <row r="97" spans="1:6" x14ac:dyDescent="0.3">
      <c r="A97" s="12"/>
      <c r="B97" s="12"/>
      <c r="C97" s="12"/>
      <c r="D97" s="12"/>
      <c r="E97" s="12"/>
      <c r="F97" s="1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ED34-4BCC-4BA4-B150-69AF4C838752}">
  <dimension ref="A1:H155"/>
  <sheetViews>
    <sheetView workbookViewId="0">
      <selection sqref="A1:H155"/>
    </sheetView>
  </sheetViews>
  <sheetFormatPr defaultRowHeight="14.4" x14ac:dyDescent="0.3"/>
  <cols>
    <col min="1" max="1" width="10.33203125" bestFit="1" customWidth="1"/>
    <col min="2" max="2" width="28.21875" customWidth="1"/>
    <col min="3" max="3" width="3.88671875" bestFit="1" customWidth="1"/>
    <col min="4" max="4" width="13.77734375" customWidth="1"/>
    <col min="5" max="5" width="11.6640625" customWidth="1"/>
    <col min="6" max="6" width="22.109375" customWidth="1"/>
    <col min="7" max="7" width="3.88671875" bestFit="1" customWidth="1"/>
    <col min="8" max="8" width="14.44140625" customWidth="1"/>
  </cols>
  <sheetData>
    <row r="1" spans="1:8" ht="17.399999999999999" x14ac:dyDescent="0.3">
      <c r="A1" s="47" t="s">
        <v>59</v>
      </c>
      <c r="B1" s="47"/>
      <c r="C1" s="47"/>
      <c r="D1" s="47"/>
      <c r="E1" s="47"/>
      <c r="F1" s="47"/>
      <c r="G1" s="47"/>
      <c r="H1" s="47"/>
    </row>
    <row r="2" spans="1:8" x14ac:dyDescent="0.3">
      <c r="A2" s="13"/>
      <c r="B2" s="13"/>
      <c r="C2" s="13"/>
      <c r="D2" s="14"/>
      <c r="E2" s="13"/>
      <c r="F2" s="13"/>
      <c r="G2" s="13"/>
      <c r="H2" s="14"/>
    </row>
    <row r="3" spans="1:8" ht="17.399999999999999" x14ac:dyDescent="0.3">
      <c r="A3" s="5" t="s">
        <v>60</v>
      </c>
      <c r="B3" s="5"/>
      <c r="C3" s="49" t="s">
        <v>61</v>
      </c>
      <c r="D3" s="49"/>
      <c r="E3" s="49"/>
      <c r="F3" s="49"/>
      <c r="G3" s="5"/>
      <c r="H3" s="6" t="s">
        <v>62</v>
      </c>
    </row>
    <row r="4" spans="1:8" ht="15.6" x14ac:dyDescent="0.3">
      <c r="A4" s="1" t="s">
        <v>10</v>
      </c>
      <c r="B4" s="1" t="s">
        <v>11</v>
      </c>
      <c r="C4" s="1" t="s">
        <v>63</v>
      </c>
      <c r="D4" s="3" t="s">
        <v>64</v>
      </c>
      <c r="E4" s="1" t="s">
        <v>10</v>
      </c>
      <c r="F4" s="1" t="s">
        <v>11</v>
      </c>
      <c r="G4" s="1" t="s">
        <v>63</v>
      </c>
      <c r="H4" s="3" t="s">
        <v>64</v>
      </c>
    </row>
    <row r="5" spans="1:8" x14ac:dyDescent="0.3">
      <c r="A5" s="27">
        <v>46081</v>
      </c>
      <c r="B5" s="28" t="s">
        <v>65</v>
      </c>
      <c r="C5" s="28"/>
      <c r="D5" s="29">
        <v>1500000</v>
      </c>
      <c r="E5" s="27">
        <v>46023</v>
      </c>
      <c r="F5" s="28" t="s">
        <v>66</v>
      </c>
      <c r="G5" s="28"/>
      <c r="H5" s="29">
        <v>600000</v>
      </c>
    </row>
    <row r="6" spans="1:8" x14ac:dyDescent="0.3">
      <c r="A6" s="28"/>
      <c r="B6" s="28"/>
      <c r="C6" s="28"/>
      <c r="D6" s="29"/>
      <c r="E6" s="27">
        <v>46023</v>
      </c>
      <c r="F6" s="28" t="s">
        <v>67</v>
      </c>
      <c r="G6" s="28"/>
      <c r="H6" s="29">
        <v>700000</v>
      </c>
    </row>
    <row r="7" spans="1:8" x14ac:dyDescent="0.3">
      <c r="A7" s="28"/>
      <c r="B7" s="28"/>
      <c r="C7" s="28"/>
      <c r="D7" s="29"/>
      <c r="E7" s="27">
        <v>46023</v>
      </c>
      <c r="F7" s="28" t="s">
        <v>68</v>
      </c>
      <c r="G7" s="28"/>
      <c r="H7" s="29">
        <v>200000</v>
      </c>
    </row>
    <row r="8" spans="1:8" x14ac:dyDescent="0.3">
      <c r="A8" s="28"/>
      <c r="B8" s="28"/>
      <c r="C8" s="28"/>
      <c r="D8" s="29"/>
      <c r="E8" s="28"/>
      <c r="F8" s="28"/>
      <c r="G8" s="28"/>
      <c r="H8" s="29"/>
    </row>
    <row r="9" spans="1:8" x14ac:dyDescent="0.3">
      <c r="A9" s="28"/>
      <c r="B9" s="28"/>
      <c r="C9" s="28"/>
      <c r="D9" s="21">
        <v>1500000</v>
      </c>
      <c r="E9" s="28"/>
      <c r="F9" s="28"/>
      <c r="G9" s="28"/>
      <c r="H9" s="21">
        <v>1500000</v>
      </c>
    </row>
    <row r="10" spans="1:8" x14ac:dyDescent="0.3">
      <c r="A10" s="28"/>
      <c r="B10" s="28"/>
      <c r="C10" s="28"/>
      <c r="D10" s="29"/>
      <c r="E10" s="27">
        <v>46082</v>
      </c>
      <c r="F10" s="28" t="s">
        <v>69</v>
      </c>
      <c r="G10" s="28"/>
      <c r="H10" s="21">
        <v>1500000</v>
      </c>
    </row>
    <row r="11" spans="1:8" x14ac:dyDescent="0.3">
      <c r="A11" s="13"/>
      <c r="B11" s="13"/>
      <c r="C11" s="13"/>
      <c r="D11" s="14"/>
      <c r="E11" s="13"/>
      <c r="F11" s="13"/>
      <c r="G11" s="13"/>
      <c r="H11" s="14"/>
    </row>
    <row r="12" spans="1:8" x14ac:dyDescent="0.3">
      <c r="A12" s="13"/>
      <c r="B12" s="13"/>
      <c r="C12" s="13"/>
      <c r="D12" s="14"/>
      <c r="E12" s="13"/>
      <c r="F12" s="13"/>
      <c r="G12" s="13"/>
      <c r="H12" s="14"/>
    </row>
    <row r="13" spans="1:8" ht="17.399999999999999" x14ac:dyDescent="0.3">
      <c r="A13" s="5" t="s">
        <v>60</v>
      </c>
      <c r="B13" s="5"/>
      <c r="C13" s="49" t="s">
        <v>15</v>
      </c>
      <c r="D13" s="49"/>
      <c r="E13" s="49"/>
      <c r="F13" s="49"/>
      <c r="G13" s="5"/>
      <c r="H13" s="6" t="s">
        <v>62</v>
      </c>
    </row>
    <row r="14" spans="1:8" ht="15.6" x14ac:dyDescent="0.3">
      <c r="A14" s="1" t="s">
        <v>10</v>
      </c>
      <c r="B14" s="1" t="s">
        <v>11</v>
      </c>
      <c r="C14" s="1" t="s">
        <v>63</v>
      </c>
      <c r="D14" s="3" t="s">
        <v>64</v>
      </c>
      <c r="E14" s="1" t="s">
        <v>10</v>
      </c>
      <c r="F14" s="1" t="s">
        <v>11</v>
      </c>
      <c r="G14" s="1" t="s">
        <v>63</v>
      </c>
      <c r="H14" s="3" t="s">
        <v>64</v>
      </c>
    </row>
    <row r="15" spans="1:8" x14ac:dyDescent="0.3">
      <c r="A15" s="27">
        <v>46023</v>
      </c>
      <c r="B15" s="28" t="s">
        <v>70</v>
      </c>
      <c r="C15" s="28"/>
      <c r="D15" s="29">
        <v>600000</v>
      </c>
      <c r="E15" s="27">
        <v>46029</v>
      </c>
      <c r="F15" s="28" t="s">
        <v>71</v>
      </c>
      <c r="G15" s="28"/>
      <c r="H15" s="29">
        <v>500000</v>
      </c>
    </row>
    <row r="16" spans="1:8" x14ac:dyDescent="0.3">
      <c r="A16" s="27">
        <v>46027</v>
      </c>
      <c r="B16" s="28" t="s">
        <v>72</v>
      </c>
      <c r="C16" s="28"/>
      <c r="D16" s="29">
        <v>950000</v>
      </c>
      <c r="E16" s="27">
        <v>46031</v>
      </c>
      <c r="F16" s="28" t="s">
        <v>73</v>
      </c>
      <c r="G16" s="28"/>
      <c r="H16" s="29">
        <v>300000</v>
      </c>
    </row>
    <row r="17" spans="1:8" x14ac:dyDescent="0.3">
      <c r="A17" s="27">
        <v>46045</v>
      </c>
      <c r="B17" s="28" t="s">
        <v>74</v>
      </c>
      <c r="C17" s="28"/>
      <c r="D17" s="29">
        <v>10000</v>
      </c>
      <c r="E17" s="27">
        <v>46035</v>
      </c>
      <c r="F17" s="28" t="s">
        <v>75</v>
      </c>
      <c r="G17" s="28"/>
      <c r="H17" s="29">
        <v>250000</v>
      </c>
    </row>
    <row r="18" spans="1:8" x14ac:dyDescent="0.3">
      <c r="A18" s="27">
        <v>46047</v>
      </c>
      <c r="B18" s="28" t="s">
        <v>76</v>
      </c>
      <c r="C18" s="28"/>
      <c r="D18" s="29">
        <v>55000</v>
      </c>
      <c r="E18" s="27">
        <v>46055</v>
      </c>
      <c r="F18" s="28" t="s">
        <v>75</v>
      </c>
      <c r="G18" s="28"/>
      <c r="H18" s="29">
        <v>25000</v>
      </c>
    </row>
    <row r="19" spans="1:8" x14ac:dyDescent="0.3">
      <c r="A19" s="27">
        <v>46051</v>
      </c>
      <c r="B19" s="28" t="s">
        <v>46</v>
      </c>
      <c r="C19" s="28"/>
      <c r="D19" s="29">
        <v>90000</v>
      </c>
      <c r="E19" s="27">
        <v>46067</v>
      </c>
      <c r="F19" s="28" t="s">
        <v>67</v>
      </c>
      <c r="G19" s="28"/>
      <c r="H19" s="29">
        <v>35000</v>
      </c>
    </row>
    <row r="20" spans="1:8" x14ac:dyDescent="0.3">
      <c r="A20" s="27">
        <v>46059</v>
      </c>
      <c r="B20" s="28" t="s">
        <v>74</v>
      </c>
      <c r="C20" s="28"/>
      <c r="D20" s="29">
        <v>15000</v>
      </c>
      <c r="E20" s="27">
        <v>46069</v>
      </c>
      <c r="F20" s="28" t="s">
        <v>75</v>
      </c>
      <c r="G20" s="28"/>
      <c r="H20" s="29">
        <v>450000</v>
      </c>
    </row>
    <row r="21" spans="1:8" x14ac:dyDescent="0.3">
      <c r="A21" s="27">
        <v>46065</v>
      </c>
      <c r="B21" s="28" t="s">
        <v>72</v>
      </c>
      <c r="C21" s="28"/>
      <c r="D21" s="29">
        <v>100000</v>
      </c>
      <c r="E21" s="27">
        <v>46071</v>
      </c>
      <c r="F21" s="28" t="s">
        <v>77</v>
      </c>
      <c r="G21" s="28"/>
      <c r="H21" s="29">
        <v>50000</v>
      </c>
    </row>
    <row r="22" spans="1:8" x14ac:dyDescent="0.3">
      <c r="A22" s="28"/>
      <c r="B22" s="28"/>
      <c r="C22" s="28"/>
      <c r="D22" s="29"/>
      <c r="E22" s="27">
        <v>46073</v>
      </c>
      <c r="F22" s="28" t="s">
        <v>78</v>
      </c>
      <c r="G22" s="28"/>
      <c r="H22" s="29">
        <v>30000</v>
      </c>
    </row>
    <row r="23" spans="1:8" x14ac:dyDescent="0.3">
      <c r="A23" s="28"/>
      <c r="B23" s="28"/>
      <c r="C23" s="28"/>
      <c r="D23" s="29"/>
      <c r="E23" s="27">
        <v>46081</v>
      </c>
      <c r="F23" s="28" t="s">
        <v>78</v>
      </c>
      <c r="G23" s="28"/>
      <c r="H23" s="29">
        <v>30000</v>
      </c>
    </row>
    <row r="24" spans="1:8" x14ac:dyDescent="0.3">
      <c r="A24" s="28"/>
      <c r="B24" s="28"/>
      <c r="C24" s="28"/>
      <c r="D24" s="29"/>
      <c r="E24" s="27">
        <v>46081</v>
      </c>
      <c r="F24" s="28" t="s">
        <v>79</v>
      </c>
      <c r="G24" s="28"/>
      <c r="H24" s="29">
        <v>150000</v>
      </c>
    </row>
    <row r="25" spans="1:8" x14ac:dyDescent="0.3">
      <c r="A25" s="28"/>
      <c r="B25" s="28"/>
      <c r="C25" s="28"/>
      <c r="D25" s="29"/>
      <c r="E25" s="28"/>
      <c r="F25" s="28"/>
      <c r="G25" s="28"/>
      <c r="H25" s="29"/>
    </row>
    <row r="26" spans="1:8" x14ac:dyDescent="0.3">
      <c r="A26" s="28"/>
      <c r="B26" s="28"/>
      <c r="C26" s="28"/>
      <c r="D26" s="21">
        <f>SUM(D15:D23)</f>
        <v>1820000</v>
      </c>
      <c r="E26" s="28"/>
      <c r="F26" s="28"/>
      <c r="G26" s="28"/>
      <c r="H26" s="21">
        <f>SUM(H15:H24)</f>
        <v>1820000</v>
      </c>
    </row>
    <row r="27" spans="1:8" x14ac:dyDescent="0.3">
      <c r="A27" s="27">
        <v>46082</v>
      </c>
      <c r="B27" s="28" t="s">
        <v>80</v>
      </c>
      <c r="C27" s="28"/>
      <c r="D27" s="21">
        <f>H24</f>
        <v>150000</v>
      </c>
      <c r="E27" s="28"/>
      <c r="F27" s="28"/>
      <c r="G27" s="28"/>
      <c r="H27" s="29"/>
    </row>
    <row r="28" spans="1:8" x14ac:dyDescent="0.3">
      <c r="A28" s="13"/>
      <c r="B28" s="13"/>
      <c r="C28" s="13"/>
      <c r="D28" s="14"/>
      <c r="E28" s="13"/>
      <c r="F28" s="13"/>
      <c r="G28" s="13"/>
      <c r="H28" s="14"/>
    </row>
    <row r="29" spans="1:8" x14ac:dyDescent="0.3">
      <c r="A29" s="13"/>
      <c r="B29" s="13"/>
      <c r="C29" s="13"/>
      <c r="D29" s="14"/>
      <c r="E29" s="13"/>
      <c r="F29" s="13"/>
      <c r="G29" s="13"/>
      <c r="H29" s="14"/>
    </row>
    <row r="30" spans="1:8" ht="17.399999999999999" x14ac:dyDescent="0.3">
      <c r="A30" s="5" t="s">
        <v>60</v>
      </c>
      <c r="B30" s="5"/>
      <c r="C30" s="49" t="s">
        <v>40</v>
      </c>
      <c r="D30" s="49"/>
      <c r="E30" s="49"/>
      <c r="F30" s="49"/>
      <c r="G30" s="5"/>
      <c r="H30" s="6" t="s">
        <v>62</v>
      </c>
    </row>
    <row r="31" spans="1:8" ht="15.6" x14ac:dyDescent="0.3">
      <c r="A31" s="1" t="s">
        <v>10</v>
      </c>
      <c r="B31" s="1" t="s">
        <v>11</v>
      </c>
      <c r="C31" s="1" t="s">
        <v>63</v>
      </c>
      <c r="D31" s="3" t="s">
        <v>64</v>
      </c>
      <c r="E31" s="1" t="s">
        <v>10</v>
      </c>
      <c r="F31" s="1" t="s">
        <v>11</v>
      </c>
      <c r="G31" s="1" t="s">
        <v>63</v>
      </c>
      <c r="H31" s="3" t="s">
        <v>64</v>
      </c>
    </row>
    <row r="32" spans="1:8" x14ac:dyDescent="0.3">
      <c r="A32" s="27">
        <v>46023</v>
      </c>
      <c r="B32" s="28" t="s">
        <v>70</v>
      </c>
      <c r="C32" s="28"/>
      <c r="D32" s="29">
        <v>700000</v>
      </c>
      <c r="E32" s="27">
        <v>46024</v>
      </c>
      <c r="F32" s="28" t="s">
        <v>81</v>
      </c>
      <c r="G32" s="28"/>
      <c r="H32" s="29">
        <v>250000</v>
      </c>
    </row>
    <row r="33" spans="1:8" x14ac:dyDescent="0.3">
      <c r="A33" s="27">
        <v>46029</v>
      </c>
      <c r="B33" s="28" t="s">
        <v>82</v>
      </c>
      <c r="C33" s="28"/>
      <c r="D33" s="29">
        <v>500000</v>
      </c>
      <c r="E33" s="27">
        <v>46045</v>
      </c>
      <c r="F33" s="28" t="s">
        <v>66</v>
      </c>
      <c r="G33" s="28"/>
      <c r="H33" s="29">
        <v>10000</v>
      </c>
    </row>
    <row r="34" spans="1:8" x14ac:dyDescent="0.3">
      <c r="A34" s="27">
        <v>46033</v>
      </c>
      <c r="B34" s="28" t="s">
        <v>76</v>
      </c>
      <c r="C34" s="28"/>
      <c r="D34" s="29">
        <v>75000</v>
      </c>
      <c r="E34" s="27">
        <v>46049</v>
      </c>
      <c r="F34" s="28" t="s">
        <v>73</v>
      </c>
      <c r="G34" s="28"/>
      <c r="H34" s="29">
        <v>70000</v>
      </c>
    </row>
    <row r="35" spans="1:8" x14ac:dyDescent="0.3">
      <c r="A35" s="27">
        <v>46039</v>
      </c>
      <c r="B35" s="28" t="s">
        <v>46</v>
      </c>
      <c r="C35" s="28"/>
      <c r="D35" s="29">
        <v>275000</v>
      </c>
      <c r="E35" s="27">
        <v>46053</v>
      </c>
      <c r="F35" s="28" t="s">
        <v>83</v>
      </c>
      <c r="G35" s="28"/>
      <c r="H35" s="29">
        <v>50000</v>
      </c>
    </row>
    <row r="36" spans="1:8" x14ac:dyDescent="0.3">
      <c r="A36" s="27">
        <v>46041</v>
      </c>
      <c r="B36" s="28" t="s">
        <v>84</v>
      </c>
      <c r="C36" s="28"/>
      <c r="D36" s="29">
        <v>200000</v>
      </c>
      <c r="E36" s="27">
        <v>46059</v>
      </c>
      <c r="F36" s="28" t="s">
        <v>66</v>
      </c>
      <c r="G36" s="28"/>
      <c r="H36" s="29">
        <v>15000</v>
      </c>
    </row>
    <row r="37" spans="1:8" x14ac:dyDescent="0.3">
      <c r="A37" s="27">
        <v>46061</v>
      </c>
      <c r="B37" s="28" t="s">
        <v>85</v>
      </c>
      <c r="C37" s="28"/>
      <c r="D37" s="29">
        <v>5000</v>
      </c>
      <c r="E37" s="27">
        <v>46073</v>
      </c>
      <c r="F37" s="28" t="s">
        <v>78</v>
      </c>
      <c r="G37" s="28"/>
      <c r="H37" s="29">
        <v>30000</v>
      </c>
    </row>
    <row r="38" spans="1:8" x14ac:dyDescent="0.3">
      <c r="A38" s="27">
        <v>46067</v>
      </c>
      <c r="B38" s="28" t="s">
        <v>82</v>
      </c>
      <c r="C38" s="28"/>
      <c r="D38" s="29">
        <v>35000</v>
      </c>
      <c r="E38" s="27">
        <v>46079</v>
      </c>
      <c r="F38" s="28" t="s">
        <v>86</v>
      </c>
      <c r="G38" s="28"/>
      <c r="H38" s="29">
        <v>50000</v>
      </c>
    </row>
    <row r="39" spans="1:8" x14ac:dyDescent="0.3">
      <c r="A39" s="27"/>
      <c r="B39" s="28"/>
      <c r="C39" s="28"/>
      <c r="D39" s="29"/>
      <c r="E39" s="27">
        <v>46081</v>
      </c>
      <c r="F39" s="28" t="s">
        <v>79</v>
      </c>
      <c r="G39" s="28"/>
      <c r="H39" s="29">
        <v>1315000</v>
      </c>
    </row>
    <row r="40" spans="1:8" x14ac:dyDescent="0.3">
      <c r="A40" s="27"/>
      <c r="B40" s="28"/>
      <c r="C40" s="28"/>
      <c r="D40" s="29"/>
      <c r="E40" s="27"/>
      <c r="F40" s="28"/>
      <c r="G40" s="28"/>
      <c r="H40" s="29"/>
    </row>
    <row r="41" spans="1:8" x14ac:dyDescent="0.3">
      <c r="A41" s="27"/>
      <c r="B41" s="28"/>
      <c r="C41" s="28"/>
      <c r="D41" s="21">
        <f>SUM(D32:D38)</f>
        <v>1790000</v>
      </c>
      <c r="E41" s="28"/>
      <c r="F41" s="28"/>
      <c r="G41" s="28"/>
      <c r="H41" s="21">
        <f>SUM(H32:H39)</f>
        <v>1790000</v>
      </c>
    </row>
    <row r="42" spans="1:8" x14ac:dyDescent="0.3">
      <c r="A42" s="27">
        <v>46082</v>
      </c>
      <c r="B42" s="28" t="s">
        <v>80</v>
      </c>
      <c r="C42" s="28"/>
      <c r="D42" s="21">
        <v>1315000</v>
      </c>
      <c r="E42" s="28"/>
      <c r="F42" s="28"/>
      <c r="G42" s="28"/>
      <c r="H42" s="29"/>
    </row>
    <row r="43" spans="1:8" x14ac:dyDescent="0.3">
      <c r="A43" s="30"/>
      <c r="B43" s="13"/>
      <c r="C43" s="13"/>
      <c r="D43" s="14"/>
      <c r="E43" s="13"/>
      <c r="F43" s="13"/>
      <c r="G43" s="13"/>
      <c r="H43" s="14"/>
    </row>
    <row r="44" spans="1:8" x14ac:dyDescent="0.3">
      <c r="A44" s="30"/>
      <c r="B44" s="13"/>
      <c r="C44" s="13"/>
      <c r="D44" s="14"/>
      <c r="E44" s="13"/>
      <c r="F44" s="13"/>
      <c r="G44" s="13"/>
      <c r="H44" s="14"/>
    </row>
    <row r="45" spans="1:8" ht="17.399999999999999" x14ac:dyDescent="0.3">
      <c r="A45" s="5" t="s">
        <v>60</v>
      </c>
      <c r="B45" s="5"/>
      <c r="C45" s="49" t="s">
        <v>18</v>
      </c>
      <c r="D45" s="49"/>
      <c r="E45" s="49"/>
      <c r="F45" s="49"/>
      <c r="G45" s="5"/>
      <c r="H45" s="6" t="s">
        <v>62</v>
      </c>
    </row>
    <row r="46" spans="1:8" ht="15.6" x14ac:dyDescent="0.3">
      <c r="A46" s="1" t="s">
        <v>10</v>
      </c>
      <c r="B46" s="1" t="s">
        <v>11</v>
      </c>
      <c r="C46" s="1" t="s">
        <v>63</v>
      </c>
      <c r="D46" s="3" t="s">
        <v>64</v>
      </c>
      <c r="E46" s="1" t="s">
        <v>10</v>
      </c>
      <c r="F46" s="1" t="s">
        <v>11</v>
      </c>
      <c r="G46" s="1" t="s">
        <v>63</v>
      </c>
      <c r="H46" s="3" t="s">
        <v>64</v>
      </c>
    </row>
    <row r="47" spans="1:8" x14ac:dyDescent="0.3">
      <c r="A47" s="27">
        <v>46023</v>
      </c>
      <c r="B47" s="28" t="s">
        <v>70</v>
      </c>
      <c r="C47" s="28"/>
      <c r="D47" s="29">
        <v>200000</v>
      </c>
      <c r="E47" s="27">
        <v>46081</v>
      </c>
      <c r="F47" s="28" t="s">
        <v>79</v>
      </c>
      <c r="G47" s="28"/>
      <c r="H47" s="29">
        <v>200000</v>
      </c>
    </row>
    <row r="48" spans="1:8" x14ac:dyDescent="0.3">
      <c r="A48" s="27"/>
      <c r="B48" s="28"/>
      <c r="C48" s="28"/>
      <c r="D48" s="29"/>
      <c r="E48" s="27"/>
      <c r="F48" s="28"/>
      <c r="G48" s="28"/>
      <c r="H48" s="29"/>
    </row>
    <row r="49" spans="1:8" x14ac:dyDescent="0.3">
      <c r="A49" s="27"/>
      <c r="B49" s="28"/>
      <c r="C49" s="28"/>
      <c r="D49" s="21">
        <v>200000</v>
      </c>
      <c r="E49" s="27"/>
      <c r="F49" s="28"/>
      <c r="G49" s="28"/>
      <c r="H49" s="21">
        <v>200000</v>
      </c>
    </row>
    <row r="50" spans="1:8" x14ac:dyDescent="0.3">
      <c r="A50" s="27">
        <v>46082</v>
      </c>
      <c r="B50" s="28" t="s">
        <v>80</v>
      </c>
      <c r="C50" s="28"/>
      <c r="D50" s="21">
        <v>200000</v>
      </c>
      <c r="E50" s="27"/>
      <c r="F50" s="28"/>
      <c r="G50" s="28"/>
      <c r="H50" s="29"/>
    </row>
    <row r="51" spans="1:8" x14ac:dyDescent="0.3">
      <c r="A51" s="13"/>
      <c r="B51" s="13"/>
      <c r="C51" s="13"/>
      <c r="D51" s="14"/>
      <c r="E51" s="13"/>
      <c r="F51" s="13"/>
      <c r="G51" s="13"/>
      <c r="H51" s="14"/>
    </row>
    <row r="52" spans="1:8" x14ac:dyDescent="0.3">
      <c r="A52" s="13"/>
      <c r="B52" s="13"/>
      <c r="C52" s="13"/>
      <c r="D52" s="14"/>
      <c r="E52" s="13"/>
      <c r="F52" s="13"/>
      <c r="G52" s="13"/>
      <c r="H52" s="14"/>
    </row>
    <row r="53" spans="1:8" ht="17.399999999999999" x14ac:dyDescent="0.3">
      <c r="A53" s="5" t="s">
        <v>60</v>
      </c>
      <c r="B53" s="5"/>
      <c r="C53" s="49" t="s">
        <v>87</v>
      </c>
      <c r="D53" s="49"/>
      <c r="E53" s="49"/>
      <c r="F53" s="49"/>
      <c r="G53" s="5"/>
      <c r="H53" s="6" t="s">
        <v>62</v>
      </c>
    </row>
    <row r="54" spans="1:8" ht="15.6" x14ac:dyDescent="0.3">
      <c r="A54" s="1" t="s">
        <v>10</v>
      </c>
      <c r="B54" s="1" t="s">
        <v>11</v>
      </c>
      <c r="C54" s="1" t="s">
        <v>63</v>
      </c>
      <c r="D54" s="3" t="s">
        <v>64</v>
      </c>
      <c r="E54" s="1" t="s">
        <v>10</v>
      </c>
      <c r="F54" s="1" t="s">
        <v>11</v>
      </c>
      <c r="G54" s="1" t="s">
        <v>63</v>
      </c>
      <c r="H54" s="3" t="s">
        <v>64</v>
      </c>
    </row>
    <row r="55" spans="1:8" x14ac:dyDescent="0.3">
      <c r="A55" s="27">
        <v>46024</v>
      </c>
      <c r="B55" s="28" t="s">
        <v>74</v>
      </c>
      <c r="C55" s="28"/>
      <c r="D55" s="29">
        <v>250000</v>
      </c>
      <c r="E55" s="27">
        <v>46081</v>
      </c>
      <c r="F55" s="28" t="s">
        <v>79</v>
      </c>
      <c r="G55" s="28"/>
      <c r="H55" s="29">
        <v>250000</v>
      </c>
    </row>
    <row r="56" spans="1:8" x14ac:dyDescent="0.3">
      <c r="A56" s="27"/>
      <c r="B56" s="28"/>
      <c r="C56" s="28"/>
      <c r="D56" s="29"/>
      <c r="E56" s="27"/>
      <c r="F56" s="28"/>
      <c r="G56" s="28"/>
      <c r="H56" s="29"/>
    </row>
    <row r="57" spans="1:8" x14ac:dyDescent="0.3">
      <c r="A57" s="27"/>
      <c r="B57" s="28"/>
      <c r="C57" s="28"/>
      <c r="D57" s="21">
        <v>250000</v>
      </c>
      <c r="E57" s="27"/>
      <c r="F57" s="28"/>
      <c r="G57" s="28"/>
      <c r="H57" s="21">
        <v>250000</v>
      </c>
    </row>
    <row r="58" spans="1:8" x14ac:dyDescent="0.3">
      <c r="A58" s="27">
        <v>46082</v>
      </c>
      <c r="B58" s="28" t="s">
        <v>80</v>
      </c>
      <c r="C58" s="28"/>
      <c r="D58" s="21">
        <v>250000</v>
      </c>
      <c r="E58" s="27"/>
      <c r="F58" s="28"/>
      <c r="G58" s="28"/>
      <c r="H58" s="29"/>
    </row>
    <row r="59" spans="1:8" x14ac:dyDescent="0.3">
      <c r="A59" s="13"/>
      <c r="B59" s="13"/>
      <c r="C59" s="13"/>
      <c r="D59" s="14"/>
      <c r="E59" s="13"/>
      <c r="F59" s="13"/>
      <c r="G59" s="13"/>
      <c r="H59" s="14"/>
    </row>
    <row r="60" spans="1:8" x14ac:dyDescent="0.3">
      <c r="A60" s="13"/>
      <c r="B60" s="13"/>
      <c r="C60" s="13"/>
      <c r="D60" s="14"/>
      <c r="E60" s="13"/>
      <c r="F60" s="13"/>
      <c r="G60" s="13"/>
      <c r="H60" s="14"/>
    </row>
    <row r="61" spans="1:8" ht="17.399999999999999" x14ac:dyDescent="0.3">
      <c r="A61" s="5" t="s">
        <v>60</v>
      </c>
      <c r="B61" s="5"/>
      <c r="C61" s="49" t="s">
        <v>24</v>
      </c>
      <c r="D61" s="49"/>
      <c r="E61" s="49"/>
      <c r="F61" s="49"/>
      <c r="G61" s="5"/>
      <c r="H61" s="6" t="s">
        <v>62</v>
      </c>
    </row>
    <row r="62" spans="1:8" ht="15.6" x14ac:dyDescent="0.3">
      <c r="A62" s="1" t="s">
        <v>10</v>
      </c>
      <c r="B62" s="1" t="s">
        <v>11</v>
      </c>
      <c r="C62" s="1" t="s">
        <v>63</v>
      </c>
      <c r="D62" s="3" t="s">
        <v>64</v>
      </c>
      <c r="E62" s="1" t="s">
        <v>10</v>
      </c>
      <c r="F62" s="1" t="s">
        <v>11</v>
      </c>
      <c r="G62" s="1" t="s">
        <v>63</v>
      </c>
      <c r="H62" s="3" t="s">
        <v>64</v>
      </c>
    </row>
    <row r="63" spans="1:8" x14ac:dyDescent="0.3">
      <c r="A63" s="27">
        <v>46025</v>
      </c>
      <c r="B63" s="28" t="s">
        <v>88</v>
      </c>
      <c r="C63" s="28"/>
      <c r="D63" s="29">
        <v>720000</v>
      </c>
      <c r="E63" s="27">
        <v>46081</v>
      </c>
      <c r="F63" s="28" t="s">
        <v>79</v>
      </c>
      <c r="G63" s="28"/>
      <c r="H63" s="29">
        <v>1570000</v>
      </c>
    </row>
    <row r="64" spans="1:8" x14ac:dyDescent="0.3">
      <c r="A64" s="27">
        <v>46035</v>
      </c>
      <c r="B64" s="28" t="s">
        <v>82</v>
      </c>
      <c r="C64" s="28"/>
      <c r="D64" s="29">
        <v>250000</v>
      </c>
      <c r="E64" s="27"/>
      <c r="F64" s="28"/>
      <c r="G64" s="28"/>
      <c r="H64" s="29"/>
    </row>
    <row r="65" spans="1:8" x14ac:dyDescent="0.3">
      <c r="A65" s="27">
        <v>46043</v>
      </c>
      <c r="B65" s="28" t="s">
        <v>88</v>
      </c>
      <c r="C65" s="28"/>
      <c r="D65" s="29">
        <v>50000</v>
      </c>
      <c r="E65" s="27"/>
      <c r="F65" s="28"/>
      <c r="G65" s="28"/>
      <c r="H65" s="29"/>
    </row>
    <row r="66" spans="1:8" x14ac:dyDescent="0.3">
      <c r="A66" s="27">
        <v>46055</v>
      </c>
      <c r="B66" s="28" t="s">
        <v>82</v>
      </c>
      <c r="C66" s="28"/>
      <c r="D66" s="29">
        <v>25000</v>
      </c>
      <c r="E66" s="27"/>
      <c r="F66" s="28"/>
      <c r="G66" s="28"/>
      <c r="H66" s="29"/>
    </row>
    <row r="67" spans="1:8" x14ac:dyDescent="0.3">
      <c r="A67" s="27">
        <v>46063</v>
      </c>
      <c r="B67" s="28" t="s">
        <v>88</v>
      </c>
      <c r="C67" s="28"/>
      <c r="D67" s="29">
        <v>75000</v>
      </c>
      <c r="E67" s="28"/>
      <c r="F67" s="28"/>
      <c r="G67" s="28"/>
      <c r="H67" s="29"/>
    </row>
    <row r="68" spans="1:8" x14ac:dyDescent="0.3">
      <c r="A68" s="27">
        <v>46069</v>
      </c>
      <c r="B68" s="28" t="s">
        <v>82</v>
      </c>
      <c r="C68" s="28"/>
      <c r="D68" s="29">
        <v>450000</v>
      </c>
      <c r="E68" s="28"/>
      <c r="F68" s="28"/>
      <c r="G68" s="28"/>
      <c r="H68" s="29"/>
    </row>
    <row r="69" spans="1:8" x14ac:dyDescent="0.3">
      <c r="A69" s="28"/>
      <c r="B69" s="28"/>
      <c r="C69" s="28"/>
      <c r="D69" s="29"/>
      <c r="E69" s="28"/>
      <c r="F69" s="28"/>
      <c r="G69" s="28"/>
      <c r="H69" s="29"/>
    </row>
    <row r="70" spans="1:8" x14ac:dyDescent="0.3">
      <c r="A70" s="28"/>
      <c r="B70" s="28"/>
      <c r="C70" s="28"/>
      <c r="D70" s="21">
        <f>SUM(D63:D68)</f>
        <v>1570000</v>
      </c>
      <c r="E70" s="28"/>
      <c r="F70" s="28"/>
      <c r="G70" s="28"/>
      <c r="H70" s="21">
        <v>1570000</v>
      </c>
    </row>
    <row r="71" spans="1:8" x14ac:dyDescent="0.3">
      <c r="A71" s="27">
        <v>46082</v>
      </c>
      <c r="B71" s="28" t="s">
        <v>80</v>
      </c>
      <c r="C71" s="28"/>
      <c r="D71" s="21">
        <v>1570000</v>
      </c>
      <c r="E71" s="28"/>
      <c r="F71" s="28"/>
      <c r="G71" s="28"/>
      <c r="H71" s="29"/>
    </row>
    <row r="72" spans="1:8" x14ac:dyDescent="0.3">
      <c r="A72" s="13"/>
      <c r="B72" s="13"/>
      <c r="C72" s="13"/>
      <c r="D72" s="14"/>
      <c r="E72" s="13"/>
      <c r="F72" s="13"/>
      <c r="G72" s="13"/>
      <c r="H72" s="14"/>
    </row>
    <row r="73" spans="1:8" x14ac:dyDescent="0.3">
      <c r="A73" s="13"/>
      <c r="B73" s="13"/>
      <c r="C73" s="13"/>
      <c r="D73" s="14"/>
      <c r="E73" s="13"/>
      <c r="F73" s="13"/>
      <c r="G73" s="13"/>
      <c r="H73" s="14"/>
    </row>
    <row r="74" spans="1:8" ht="17.399999999999999" x14ac:dyDescent="0.3">
      <c r="A74" s="5" t="s">
        <v>60</v>
      </c>
      <c r="B74" s="5"/>
      <c r="C74" s="49" t="s">
        <v>31</v>
      </c>
      <c r="D74" s="49"/>
      <c r="E74" s="49"/>
      <c r="F74" s="49"/>
      <c r="G74" s="5"/>
      <c r="H74" s="6" t="s">
        <v>62</v>
      </c>
    </row>
    <row r="75" spans="1:8" ht="15.6" x14ac:dyDescent="0.3">
      <c r="A75" s="1" t="s">
        <v>10</v>
      </c>
      <c r="B75" s="1" t="s">
        <v>11</v>
      </c>
      <c r="C75" s="1" t="s">
        <v>63</v>
      </c>
      <c r="D75" s="3" t="s">
        <v>64</v>
      </c>
      <c r="E75" s="1" t="s">
        <v>10</v>
      </c>
      <c r="F75" s="1" t="s">
        <v>11</v>
      </c>
      <c r="G75" s="1" t="s">
        <v>63</v>
      </c>
      <c r="H75" s="3" t="s">
        <v>64</v>
      </c>
    </row>
    <row r="76" spans="1:8" x14ac:dyDescent="0.3">
      <c r="A76" s="27">
        <v>46031</v>
      </c>
      <c r="B76" s="28" t="s">
        <v>82</v>
      </c>
      <c r="C76" s="28"/>
      <c r="D76" s="29">
        <v>300000</v>
      </c>
      <c r="E76" s="27">
        <v>46025</v>
      </c>
      <c r="F76" s="28" t="s">
        <v>75</v>
      </c>
      <c r="G76" s="28"/>
      <c r="H76" s="29">
        <v>720000</v>
      </c>
    </row>
    <row r="77" spans="1:8" x14ac:dyDescent="0.3">
      <c r="A77" s="27">
        <v>46049</v>
      </c>
      <c r="B77" s="28" t="s">
        <v>74</v>
      </c>
      <c r="C77" s="28"/>
      <c r="D77" s="29">
        <v>70000</v>
      </c>
      <c r="E77" s="27">
        <v>46043</v>
      </c>
      <c r="F77" s="28" t="s">
        <v>75</v>
      </c>
      <c r="G77" s="28"/>
      <c r="H77" s="29">
        <v>50000</v>
      </c>
    </row>
    <row r="78" spans="1:8" x14ac:dyDescent="0.3">
      <c r="A78" s="27">
        <v>46081</v>
      </c>
      <c r="B78" s="28" t="s">
        <v>65</v>
      </c>
      <c r="C78" s="28"/>
      <c r="D78" s="29">
        <v>475000</v>
      </c>
      <c r="E78" s="27">
        <v>46063</v>
      </c>
      <c r="F78" s="28" t="s">
        <v>75</v>
      </c>
      <c r="G78" s="28"/>
      <c r="H78" s="29">
        <v>75000</v>
      </c>
    </row>
    <row r="79" spans="1:8" x14ac:dyDescent="0.3">
      <c r="A79" s="27"/>
      <c r="B79" s="28"/>
      <c r="C79" s="28"/>
      <c r="D79" s="29"/>
      <c r="E79" s="28"/>
      <c r="F79" s="28"/>
      <c r="G79" s="28"/>
      <c r="H79" s="29"/>
    </row>
    <row r="80" spans="1:8" x14ac:dyDescent="0.3">
      <c r="A80" s="27"/>
      <c r="B80" s="28"/>
      <c r="C80" s="28"/>
      <c r="D80" s="21">
        <f>SUM(D76:D78)</f>
        <v>845000</v>
      </c>
      <c r="E80" s="28"/>
      <c r="F80" s="28"/>
      <c r="G80" s="28"/>
      <c r="H80" s="21">
        <f>SUM(H76:H78)</f>
        <v>845000</v>
      </c>
    </row>
    <row r="81" spans="1:8" x14ac:dyDescent="0.3">
      <c r="A81" s="28"/>
      <c r="B81" s="28"/>
      <c r="C81" s="28"/>
      <c r="D81" s="29"/>
      <c r="E81" s="27">
        <v>46082</v>
      </c>
      <c r="F81" s="28" t="s">
        <v>69</v>
      </c>
      <c r="G81" s="28"/>
      <c r="H81" s="21">
        <v>475000</v>
      </c>
    </row>
    <row r="82" spans="1:8" x14ac:dyDescent="0.3">
      <c r="A82" s="13"/>
      <c r="B82" s="13"/>
      <c r="C82" s="13"/>
      <c r="D82" s="14"/>
      <c r="E82" s="13"/>
      <c r="F82" s="13"/>
      <c r="G82" s="13"/>
      <c r="H82" s="14"/>
    </row>
    <row r="83" spans="1:8" x14ac:dyDescent="0.3">
      <c r="A83" s="13"/>
      <c r="B83" s="13"/>
      <c r="C83" s="13"/>
      <c r="D83" s="14"/>
      <c r="E83" s="13"/>
      <c r="F83" s="13"/>
      <c r="G83" s="13"/>
      <c r="H83" s="14"/>
    </row>
    <row r="84" spans="1:8" ht="17.399999999999999" x14ac:dyDescent="0.3">
      <c r="A84" s="5" t="s">
        <v>60</v>
      </c>
      <c r="B84" s="5"/>
      <c r="C84" s="48" t="s">
        <v>89</v>
      </c>
      <c r="D84" s="48"/>
      <c r="E84" s="48"/>
      <c r="F84" s="48"/>
      <c r="G84" s="5"/>
      <c r="H84" s="6" t="s">
        <v>62</v>
      </c>
    </row>
    <row r="85" spans="1:8" ht="15.6" x14ac:dyDescent="0.3">
      <c r="A85" s="1" t="s">
        <v>10</v>
      </c>
      <c r="B85" s="1" t="s">
        <v>11</v>
      </c>
      <c r="C85" s="1" t="s">
        <v>63</v>
      </c>
      <c r="D85" s="3" t="s">
        <v>64</v>
      </c>
      <c r="E85" s="1" t="s">
        <v>10</v>
      </c>
      <c r="F85" s="1" t="s">
        <v>11</v>
      </c>
      <c r="G85" s="1" t="s">
        <v>63</v>
      </c>
      <c r="H85" s="3" t="s">
        <v>64</v>
      </c>
    </row>
    <row r="86" spans="1:8" x14ac:dyDescent="0.3">
      <c r="A86" s="27">
        <v>46081</v>
      </c>
      <c r="B86" s="28" t="s">
        <v>65</v>
      </c>
      <c r="C86" s="28"/>
      <c r="D86" s="29">
        <v>2247000</v>
      </c>
      <c r="E86" s="27">
        <v>46027</v>
      </c>
      <c r="F86" s="28" t="s">
        <v>66</v>
      </c>
      <c r="G86" s="28"/>
      <c r="H86" s="29">
        <v>950000</v>
      </c>
    </row>
    <row r="87" spans="1:8" x14ac:dyDescent="0.3">
      <c r="A87" s="27"/>
      <c r="B87" s="28"/>
      <c r="C87" s="28"/>
      <c r="D87" s="29"/>
      <c r="E87" s="27">
        <v>46037</v>
      </c>
      <c r="F87" s="28" t="s">
        <v>90</v>
      </c>
      <c r="G87" s="28"/>
      <c r="H87" s="29">
        <v>475000</v>
      </c>
    </row>
    <row r="88" spans="1:8" x14ac:dyDescent="0.3">
      <c r="A88" s="27"/>
      <c r="B88" s="28"/>
      <c r="C88" s="28"/>
      <c r="D88" s="29"/>
      <c r="E88" s="27">
        <v>46057</v>
      </c>
      <c r="F88" s="28" t="s">
        <v>90</v>
      </c>
      <c r="G88" s="28"/>
      <c r="H88" s="29">
        <v>47000</v>
      </c>
    </row>
    <row r="89" spans="1:8" x14ac:dyDescent="0.3">
      <c r="A89" s="27"/>
      <c r="B89" s="28"/>
      <c r="C89" s="28"/>
      <c r="D89" s="29"/>
      <c r="E89" s="27">
        <v>46065</v>
      </c>
      <c r="F89" s="28" t="s">
        <v>66</v>
      </c>
      <c r="G89" s="28"/>
      <c r="H89" s="29">
        <v>100000</v>
      </c>
    </row>
    <row r="90" spans="1:8" x14ac:dyDescent="0.3">
      <c r="A90" s="27"/>
      <c r="B90" s="28"/>
      <c r="C90" s="28"/>
      <c r="D90" s="29"/>
      <c r="E90" s="27">
        <v>46077</v>
      </c>
      <c r="F90" s="28" t="s">
        <v>90</v>
      </c>
      <c r="G90" s="28"/>
      <c r="H90" s="29">
        <v>675000</v>
      </c>
    </row>
    <row r="91" spans="1:8" x14ac:dyDescent="0.3">
      <c r="A91" s="27"/>
      <c r="B91" s="28"/>
      <c r="C91" s="28"/>
      <c r="D91" s="29"/>
      <c r="E91" s="28"/>
      <c r="F91" s="28"/>
      <c r="G91" s="28"/>
      <c r="H91" s="29"/>
    </row>
    <row r="92" spans="1:8" x14ac:dyDescent="0.3">
      <c r="A92" s="28"/>
      <c r="B92" s="28"/>
      <c r="C92" s="28"/>
      <c r="D92" s="21">
        <v>2247000</v>
      </c>
      <c r="E92" s="27"/>
      <c r="F92" s="28"/>
      <c r="G92" s="28"/>
      <c r="H92" s="21">
        <f>SUM(H86:H90)</f>
        <v>2247000</v>
      </c>
    </row>
    <row r="93" spans="1:8" x14ac:dyDescent="0.3">
      <c r="A93" s="28"/>
      <c r="B93" s="28"/>
      <c r="C93" s="28"/>
      <c r="D93" s="29"/>
      <c r="E93" s="27">
        <v>46082</v>
      </c>
      <c r="F93" s="28" t="s">
        <v>69</v>
      </c>
      <c r="G93" s="28"/>
      <c r="H93" s="21">
        <v>2247000</v>
      </c>
    </row>
    <row r="94" spans="1:8" x14ac:dyDescent="0.3">
      <c r="A94" s="13"/>
      <c r="B94" s="13"/>
      <c r="C94" s="13"/>
      <c r="D94" s="14"/>
      <c r="E94" s="13"/>
      <c r="F94" s="13"/>
      <c r="G94" s="13"/>
      <c r="H94" s="14"/>
    </row>
    <row r="95" spans="1:8" x14ac:dyDescent="0.3">
      <c r="A95" s="13"/>
      <c r="B95" s="13"/>
      <c r="C95" s="13"/>
      <c r="D95" s="14"/>
      <c r="E95" s="13"/>
      <c r="F95" s="13"/>
      <c r="G95" s="13"/>
      <c r="H95" s="14"/>
    </row>
    <row r="96" spans="1:8" ht="17.399999999999999" x14ac:dyDescent="0.3">
      <c r="A96" s="5" t="s">
        <v>60</v>
      </c>
      <c r="B96" s="5"/>
      <c r="C96" s="48" t="s">
        <v>36</v>
      </c>
      <c r="D96" s="48"/>
      <c r="E96" s="48"/>
      <c r="F96" s="48"/>
      <c r="G96" s="5"/>
      <c r="H96" s="6" t="s">
        <v>62</v>
      </c>
    </row>
    <row r="97" spans="1:8" ht="15.6" x14ac:dyDescent="0.3">
      <c r="A97" s="1" t="s">
        <v>10</v>
      </c>
      <c r="B97" s="1" t="s">
        <v>11</v>
      </c>
      <c r="C97" s="1" t="s">
        <v>63</v>
      </c>
      <c r="D97" s="3" t="s">
        <v>64</v>
      </c>
      <c r="E97" s="1" t="s">
        <v>10</v>
      </c>
      <c r="F97" s="1" t="s">
        <v>11</v>
      </c>
      <c r="G97" s="1" t="s">
        <v>63</v>
      </c>
      <c r="H97" s="3" t="s">
        <v>64</v>
      </c>
    </row>
    <row r="98" spans="1:8" x14ac:dyDescent="0.3">
      <c r="A98" s="27">
        <v>46037</v>
      </c>
      <c r="B98" s="28" t="s">
        <v>72</v>
      </c>
      <c r="C98" s="28"/>
      <c r="D98" s="29">
        <v>475000</v>
      </c>
      <c r="E98" s="27">
        <v>46039</v>
      </c>
      <c r="F98" s="28" t="s">
        <v>67</v>
      </c>
      <c r="G98" s="28"/>
      <c r="H98" s="29">
        <v>275000</v>
      </c>
    </row>
    <row r="99" spans="1:8" x14ac:dyDescent="0.3">
      <c r="A99" s="27">
        <v>46057</v>
      </c>
      <c r="B99" s="28" t="s">
        <v>72</v>
      </c>
      <c r="C99" s="28"/>
      <c r="D99" s="29">
        <v>47000</v>
      </c>
      <c r="E99" s="27">
        <v>46051</v>
      </c>
      <c r="F99" s="28" t="s">
        <v>66</v>
      </c>
      <c r="G99" s="28"/>
      <c r="H99" s="29">
        <v>90000</v>
      </c>
    </row>
    <row r="100" spans="1:8" x14ac:dyDescent="0.3">
      <c r="A100" s="27">
        <v>46077</v>
      </c>
      <c r="B100" s="28" t="s">
        <v>72</v>
      </c>
      <c r="C100" s="28"/>
      <c r="D100" s="29">
        <v>675000</v>
      </c>
      <c r="E100" s="27">
        <v>46081</v>
      </c>
      <c r="F100" s="28" t="s">
        <v>79</v>
      </c>
      <c r="G100" s="28"/>
      <c r="H100" s="29">
        <v>832000</v>
      </c>
    </row>
    <row r="101" spans="1:8" x14ac:dyDescent="0.3">
      <c r="A101" s="27"/>
      <c r="B101" s="28"/>
      <c r="C101" s="28"/>
      <c r="D101" s="29"/>
      <c r="E101" s="27"/>
      <c r="F101" s="28"/>
      <c r="G101" s="28"/>
      <c r="H101" s="29"/>
    </row>
    <row r="102" spans="1:8" x14ac:dyDescent="0.3">
      <c r="A102" s="27"/>
      <c r="B102" s="28"/>
      <c r="C102" s="28"/>
      <c r="D102" s="21">
        <f>SUM(D98:D100)</f>
        <v>1197000</v>
      </c>
      <c r="E102" s="28"/>
      <c r="F102" s="28"/>
      <c r="G102" s="28"/>
      <c r="H102" s="21">
        <f>SUM(H98:H100)</f>
        <v>1197000</v>
      </c>
    </row>
    <row r="103" spans="1:8" x14ac:dyDescent="0.3">
      <c r="A103" s="27">
        <v>46082</v>
      </c>
      <c r="B103" s="28" t="s">
        <v>80</v>
      </c>
      <c r="C103" s="28"/>
      <c r="D103" s="21">
        <v>832000</v>
      </c>
      <c r="E103" s="27"/>
      <c r="F103" s="28"/>
      <c r="G103" s="28"/>
      <c r="H103" s="29"/>
    </row>
    <row r="104" spans="1:8" x14ac:dyDescent="0.3">
      <c r="A104" s="13"/>
      <c r="B104" s="13"/>
      <c r="C104" s="13"/>
      <c r="D104" s="14"/>
      <c r="E104" s="30"/>
      <c r="F104" s="13"/>
      <c r="G104" s="13"/>
      <c r="H104" s="14"/>
    </row>
    <row r="105" spans="1:8" x14ac:dyDescent="0.3">
      <c r="A105" s="13"/>
      <c r="B105" s="13"/>
      <c r="C105" s="13"/>
      <c r="D105" s="14"/>
      <c r="E105" s="13"/>
      <c r="F105" s="13"/>
      <c r="G105" s="13"/>
      <c r="H105" s="14"/>
    </row>
    <row r="106" spans="1:8" ht="17.399999999999999" x14ac:dyDescent="0.3">
      <c r="A106" s="5" t="s">
        <v>60</v>
      </c>
      <c r="B106" s="5"/>
      <c r="C106" s="48" t="s">
        <v>48</v>
      </c>
      <c r="D106" s="48"/>
      <c r="E106" s="48"/>
      <c r="F106" s="48"/>
      <c r="G106" s="5"/>
      <c r="H106" s="6" t="s">
        <v>62</v>
      </c>
    </row>
    <row r="107" spans="1:8" ht="15.6" x14ac:dyDescent="0.3">
      <c r="A107" s="1" t="s">
        <v>10</v>
      </c>
      <c r="B107" s="1" t="s">
        <v>11</v>
      </c>
      <c r="C107" s="1" t="s">
        <v>63</v>
      </c>
      <c r="D107" s="3" t="s">
        <v>64</v>
      </c>
      <c r="E107" s="1" t="s">
        <v>10</v>
      </c>
      <c r="F107" s="1" t="s">
        <v>11</v>
      </c>
      <c r="G107" s="1" t="s">
        <v>63</v>
      </c>
      <c r="H107" s="3" t="s">
        <v>64</v>
      </c>
    </row>
    <row r="108" spans="1:8" x14ac:dyDescent="0.3">
      <c r="A108" s="27">
        <v>46053</v>
      </c>
      <c r="B108" s="28" t="s">
        <v>74</v>
      </c>
      <c r="C108" s="28"/>
      <c r="D108" s="29">
        <v>50000</v>
      </c>
      <c r="E108" s="27">
        <v>46041</v>
      </c>
      <c r="F108" s="28" t="s">
        <v>67</v>
      </c>
      <c r="G108" s="28"/>
      <c r="H108" s="29">
        <v>200000</v>
      </c>
    </row>
    <row r="109" spans="1:8" x14ac:dyDescent="0.3">
      <c r="A109" s="27">
        <v>46081</v>
      </c>
      <c r="B109" s="28" t="s">
        <v>65</v>
      </c>
      <c r="C109" s="28"/>
      <c r="D109" s="29">
        <v>150000</v>
      </c>
      <c r="E109" s="27"/>
      <c r="F109" s="28"/>
      <c r="G109" s="28"/>
      <c r="H109" s="29"/>
    </row>
    <row r="110" spans="1:8" x14ac:dyDescent="0.3">
      <c r="A110" s="27"/>
      <c r="B110" s="28"/>
      <c r="C110" s="28"/>
      <c r="D110" s="29"/>
      <c r="E110" s="27"/>
      <c r="F110" s="28"/>
      <c r="G110" s="28"/>
      <c r="H110" s="29"/>
    </row>
    <row r="111" spans="1:8" x14ac:dyDescent="0.3">
      <c r="A111" s="27"/>
      <c r="B111" s="28"/>
      <c r="C111" s="28"/>
      <c r="D111" s="21">
        <f>SUM(D108:D109)</f>
        <v>200000</v>
      </c>
      <c r="E111" s="27"/>
      <c r="F111" s="28"/>
      <c r="G111" s="28"/>
      <c r="H111" s="21">
        <v>200000</v>
      </c>
    </row>
    <row r="112" spans="1:8" x14ac:dyDescent="0.3">
      <c r="A112" s="27"/>
      <c r="B112" s="28"/>
      <c r="C112" s="28"/>
      <c r="D112" s="29"/>
      <c r="E112" s="27">
        <v>46082</v>
      </c>
      <c r="F112" s="28" t="s">
        <v>69</v>
      </c>
      <c r="G112" s="28"/>
      <c r="H112" s="21">
        <v>150000</v>
      </c>
    </row>
    <row r="113" spans="1:8" x14ac:dyDescent="0.3">
      <c r="A113" s="30"/>
      <c r="B113" s="13"/>
      <c r="C113" s="13"/>
      <c r="D113" s="14"/>
      <c r="E113" s="13"/>
      <c r="F113" s="13"/>
      <c r="G113" s="13"/>
      <c r="H113" s="14"/>
    </row>
    <row r="114" spans="1:8" x14ac:dyDescent="0.3">
      <c r="A114" s="30"/>
      <c r="B114" s="13"/>
      <c r="C114" s="13"/>
      <c r="D114" s="14"/>
      <c r="E114" s="30"/>
      <c r="F114" s="13"/>
      <c r="G114" s="13"/>
      <c r="H114" s="14"/>
    </row>
    <row r="115" spans="1:8" ht="17.399999999999999" x14ac:dyDescent="0.3">
      <c r="A115" s="5" t="s">
        <v>60</v>
      </c>
      <c r="B115" s="5"/>
      <c r="C115" s="48" t="s">
        <v>91</v>
      </c>
      <c r="D115" s="48"/>
      <c r="E115" s="48"/>
      <c r="F115" s="48"/>
      <c r="G115" s="5"/>
      <c r="H115" s="6" t="s">
        <v>62</v>
      </c>
    </row>
    <row r="116" spans="1:8" ht="15.6" x14ac:dyDescent="0.3">
      <c r="A116" s="1" t="s">
        <v>10</v>
      </c>
      <c r="B116" s="1" t="s">
        <v>11</v>
      </c>
      <c r="C116" s="1" t="s">
        <v>63</v>
      </c>
      <c r="D116" s="3" t="s">
        <v>64</v>
      </c>
      <c r="E116" s="1" t="s">
        <v>10</v>
      </c>
      <c r="F116" s="1" t="s">
        <v>11</v>
      </c>
      <c r="G116" s="1" t="s">
        <v>63</v>
      </c>
      <c r="H116" s="3" t="s">
        <v>64</v>
      </c>
    </row>
    <row r="117" spans="1:8" x14ac:dyDescent="0.3">
      <c r="A117" s="27">
        <v>46081</v>
      </c>
      <c r="B117" s="28" t="s">
        <v>65</v>
      </c>
      <c r="C117" s="28"/>
      <c r="D117" s="29">
        <v>130000</v>
      </c>
      <c r="E117" s="27">
        <v>46033</v>
      </c>
      <c r="F117" s="28" t="s">
        <v>67</v>
      </c>
      <c r="G117" s="28"/>
      <c r="H117" s="29">
        <v>75000</v>
      </c>
    </row>
    <row r="118" spans="1:8" x14ac:dyDescent="0.3">
      <c r="A118" s="27"/>
      <c r="B118" s="28"/>
      <c r="C118" s="28"/>
      <c r="D118" s="29"/>
      <c r="E118" s="27">
        <v>46047</v>
      </c>
      <c r="F118" s="28" t="s">
        <v>66</v>
      </c>
      <c r="G118" s="28"/>
      <c r="H118" s="29">
        <v>55000</v>
      </c>
    </row>
    <row r="119" spans="1:8" x14ac:dyDescent="0.3">
      <c r="A119" s="27"/>
      <c r="B119" s="28"/>
      <c r="C119" s="28"/>
      <c r="D119" s="29"/>
      <c r="E119" s="27"/>
      <c r="F119" s="28"/>
      <c r="G119" s="28"/>
      <c r="H119" s="29"/>
    </row>
    <row r="120" spans="1:8" x14ac:dyDescent="0.3">
      <c r="A120" s="27"/>
      <c r="B120" s="28"/>
      <c r="C120" s="28"/>
      <c r="D120" s="21">
        <f>D117</f>
        <v>130000</v>
      </c>
      <c r="E120" s="27"/>
      <c r="F120" s="28"/>
      <c r="G120" s="28"/>
      <c r="H120" s="21">
        <f>SUM(H117:H118)</f>
        <v>130000</v>
      </c>
    </row>
    <row r="121" spans="1:8" x14ac:dyDescent="0.3">
      <c r="A121" s="27"/>
      <c r="B121" s="28"/>
      <c r="C121" s="28"/>
      <c r="D121" s="29"/>
      <c r="E121" s="27">
        <v>46082</v>
      </c>
      <c r="F121" s="28" t="s">
        <v>69</v>
      </c>
      <c r="G121" s="28"/>
      <c r="H121" s="21">
        <f>D120</f>
        <v>130000</v>
      </c>
    </row>
    <row r="122" spans="1:8" x14ac:dyDescent="0.3">
      <c r="A122" s="30"/>
      <c r="B122" s="13"/>
      <c r="C122" s="13"/>
      <c r="D122" s="14"/>
      <c r="E122" s="30"/>
      <c r="F122" s="13"/>
      <c r="G122" s="13"/>
      <c r="H122" s="14"/>
    </row>
    <row r="123" spans="1:8" x14ac:dyDescent="0.3">
      <c r="A123" s="13"/>
      <c r="B123" s="13"/>
      <c r="C123" s="13"/>
      <c r="D123" s="14"/>
      <c r="E123" s="13"/>
      <c r="F123" s="13"/>
      <c r="G123" s="13"/>
      <c r="H123" s="14"/>
    </row>
    <row r="124" spans="1:8" ht="17.399999999999999" x14ac:dyDescent="0.3">
      <c r="A124" s="5" t="s">
        <v>60</v>
      </c>
      <c r="B124" s="5"/>
      <c r="C124" s="48" t="s">
        <v>92</v>
      </c>
      <c r="D124" s="48"/>
      <c r="E124" s="48"/>
      <c r="F124" s="48"/>
      <c r="G124" s="5"/>
      <c r="H124" s="6" t="s">
        <v>62</v>
      </c>
    </row>
    <row r="125" spans="1:8" ht="15.6" x14ac:dyDescent="0.3">
      <c r="A125" s="1" t="s">
        <v>10</v>
      </c>
      <c r="B125" s="1" t="s">
        <v>11</v>
      </c>
      <c r="C125" s="1" t="s">
        <v>63</v>
      </c>
      <c r="D125" s="3" t="s">
        <v>64</v>
      </c>
      <c r="E125" s="1" t="s">
        <v>10</v>
      </c>
      <c r="F125" s="1" t="s">
        <v>11</v>
      </c>
      <c r="G125" s="1" t="s">
        <v>63</v>
      </c>
      <c r="H125" s="3" t="s">
        <v>64</v>
      </c>
    </row>
    <row r="126" spans="1:8" x14ac:dyDescent="0.3">
      <c r="A126" s="27">
        <v>46081</v>
      </c>
      <c r="B126" s="28" t="s">
        <v>65</v>
      </c>
      <c r="C126" s="28"/>
      <c r="D126" s="29">
        <v>5000</v>
      </c>
      <c r="E126" s="27">
        <v>46061</v>
      </c>
      <c r="F126" s="28" t="s">
        <v>67</v>
      </c>
      <c r="G126" s="28"/>
      <c r="H126" s="29">
        <v>5000</v>
      </c>
    </row>
    <row r="127" spans="1:8" x14ac:dyDescent="0.3">
      <c r="A127" s="27"/>
      <c r="B127" s="28"/>
      <c r="C127" s="28"/>
      <c r="D127" s="29"/>
      <c r="E127" s="27"/>
      <c r="F127" s="28"/>
      <c r="G127" s="28"/>
      <c r="H127" s="29"/>
    </row>
    <row r="128" spans="1:8" x14ac:dyDescent="0.3">
      <c r="A128" s="27"/>
      <c r="B128" s="28"/>
      <c r="C128" s="28"/>
      <c r="D128" s="21">
        <v>5000</v>
      </c>
      <c r="E128" s="27"/>
      <c r="F128" s="28"/>
      <c r="G128" s="28"/>
      <c r="H128" s="21">
        <v>5000</v>
      </c>
    </row>
    <row r="129" spans="1:8" x14ac:dyDescent="0.3">
      <c r="A129" s="27"/>
      <c r="B129" s="28"/>
      <c r="C129" s="28"/>
      <c r="D129" s="29"/>
      <c r="E129" s="27">
        <v>46082</v>
      </c>
      <c r="F129" s="28" t="s">
        <v>69</v>
      </c>
      <c r="G129" s="28"/>
      <c r="H129" s="21">
        <v>5000</v>
      </c>
    </row>
    <row r="130" spans="1:8" x14ac:dyDescent="0.3">
      <c r="A130" s="13"/>
      <c r="B130" s="13"/>
      <c r="C130" s="13"/>
      <c r="D130" s="14"/>
      <c r="E130" s="13"/>
      <c r="F130" s="13"/>
      <c r="G130" s="13"/>
      <c r="H130" s="14"/>
    </row>
    <row r="131" spans="1:8" x14ac:dyDescent="0.3">
      <c r="A131" s="13"/>
      <c r="B131" s="13"/>
      <c r="C131" s="13"/>
      <c r="D131" s="14"/>
      <c r="E131" s="13"/>
      <c r="F131" s="13"/>
      <c r="G131" s="13"/>
      <c r="H131" s="14"/>
    </row>
    <row r="132" spans="1:8" ht="17.399999999999999" x14ac:dyDescent="0.3">
      <c r="A132" s="5" t="s">
        <v>60</v>
      </c>
      <c r="B132" s="5"/>
      <c r="C132" s="48" t="s">
        <v>52</v>
      </c>
      <c r="D132" s="48"/>
      <c r="E132" s="48"/>
      <c r="F132" s="48"/>
      <c r="G132" s="5"/>
      <c r="H132" s="6" t="s">
        <v>62</v>
      </c>
    </row>
    <row r="133" spans="1:8" ht="15.6" x14ac:dyDescent="0.3">
      <c r="A133" s="1" t="s">
        <v>10</v>
      </c>
      <c r="B133" s="1" t="s">
        <v>11</v>
      </c>
      <c r="C133" s="1" t="s">
        <v>63</v>
      </c>
      <c r="D133" s="3" t="s">
        <v>64</v>
      </c>
      <c r="E133" s="1" t="s">
        <v>10</v>
      </c>
      <c r="F133" s="1" t="s">
        <v>11</v>
      </c>
      <c r="G133" s="1" t="s">
        <v>63</v>
      </c>
      <c r="H133" s="3" t="s">
        <v>64</v>
      </c>
    </row>
    <row r="134" spans="1:8" x14ac:dyDescent="0.3">
      <c r="A134" s="27">
        <v>46071</v>
      </c>
      <c r="B134" s="28" t="s">
        <v>82</v>
      </c>
      <c r="C134" s="28"/>
      <c r="D134" s="29">
        <v>50000</v>
      </c>
      <c r="E134" s="27">
        <v>46081</v>
      </c>
      <c r="F134" s="28" t="s">
        <v>79</v>
      </c>
      <c r="G134" s="28"/>
      <c r="H134" s="29">
        <v>50000</v>
      </c>
    </row>
    <row r="135" spans="1:8" x14ac:dyDescent="0.3">
      <c r="A135" s="27"/>
      <c r="B135" s="28"/>
      <c r="C135" s="28"/>
      <c r="D135" s="29"/>
      <c r="E135" s="27"/>
      <c r="F135" s="28"/>
      <c r="G135" s="28"/>
      <c r="H135" s="29"/>
    </row>
    <row r="136" spans="1:8" x14ac:dyDescent="0.3">
      <c r="A136" s="27"/>
      <c r="B136" s="28"/>
      <c r="C136" s="28"/>
      <c r="D136" s="21">
        <v>50000</v>
      </c>
      <c r="E136" s="27"/>
      <c r="F136" s="28"/>
      <c r="G136" s="28"/>
      <c r="H136" s="21">
        <v>50000</v>
      </c>
    </row>
    <row r="137" spans="1:8" x14ac:dyDescent="0.3">
      <c r="A137" s="27">
        <v>46082</v>
      </c>
      <c r="B137" s="28" t="s">
        <v>80</v>
      </c>
      <c r="C137" s="28"/>
      <c r="D137" s="21">
        <v>50000</v>
      </c>
      <c r="E137" s="27"/>
      <c r="F137" s="28"/>
      <c r="G137" s="28"/>
      <c r="H137" s="29"/>
    </row>
    <row r="138" spans="1:8" x14ac:dyDescent="0.3">
      <c r="A138" s="13"/>
      <c r="B138" s="13"/>
      <c r="C138" s="13"/>
      <c r="D138" s="14"/>
      <c r="E138" s="13"/>
      <c r="F138" s="13"/>
      <c r="G138" s="13"/>
      <c r="H138" s="14"/>
    </row>
    <row r="139" spans="1:8" x14ac:dyDescent="0.3">
      <c r="A139" s="13"/>
      <c r="B139" s="13"/>
      <c r="C139" s="13"/>
      <c r="D139" s="14"/>
      <c r="E139" s="13"/>
      <c r="F139" s="13"/>
      <c r="G139" s="13"/>
      <c r="H139" s="14"/>
    </row>
    <row r="140" spans="1:8" ht="17.399999999999999" x14ac:dyDescent="0.3">
      <c r="A140" s="5" t="s">
        <v>60</v>
      </c>
      <c r="B140" s="5"/>
      <c r="C140" s="48" t="s">
        <v>54</v>
      </c>
      <c r="D140" s="48"/>
      <c r="E140" s="48"/>
      <c r="F140" s="48"/>
      <c r="G140" s="5"/>
      <c r="H140" s="6" t="s">
        <v>62</v>
      </c>
    </row>
    <row r="141" spans="1:8" ht="15.6" x14ac:dyDescent="0.3">
      <c r="A141" s="1" t="s">
        <v>10</v>
      </c>
      <c r="B141" s="1" t="s">
        <v>11</v>
      </c>
      <c r="C141" s="1" t="s">
        <v>63</v>
      </c>
      <c r="D141" s="3" t="s">
        <v>64</v>
      </c>
      <c r="E141" s="1" t="s">
        <v>10</v>
      </c>
      <c r="F141" s="1" t="s">
        <v>11</v>
      </c>
      <c r="G141" s="1" t="s">
        <v>63</v>
      </c>
      <c r="H141" s="3" t="s">
        <v>64</v>
      </c>
    </row>
    <row r="142" spans="1:8" x14ac:dyDescent="0.3">
      <c r="A142" s="27">
        <v>46073</v>
      </c>
      <c r="B142" s="28" t="s">
        <v>74</v>
      </c>
      <c r="C142" s="28"/>
      <c r="D142" s="29">
        <v>30000</v>
      </c>
      <c r="E142" s="27">
        <v>46081</v>
      </c>
      <c r="F142" s="28" t="s">
        <v>79</v>
      </c>
      <c r="G142" s="28"/>
      <c r="H142" s="21">
        <v>90000</v>
      </c>
    </row>
    <row r="143" spans="1:8" x14ac:dyDescent="0.3">
      <c r="A143" s="27">
        <v>46073</v>
      </c>
      <c r="B143" s="28" t="s">
        <v>82</v>
      </c>
      <c r="C143" s="28"/>
      <c r="D143" s="29">
        <v>30000</v>
      </c>
      <c r="E143" s="27"/>
      <c r="F143" s="28"/>
      <c r="G143" s="28"/>
      <c r="H143" s="29"/>
    </row>
    <row r="144" spans="1:8" x14ac:dyDescent="0.3">
      <c r="A144" s="27">
        <v>46081</v>
      </c>
      <c r="B144" s="28" t="s">
        <v>82</v>
      </c>
      <c r="C144" s="28"/>
      <c r="D144" s="29">
        <v>30000</v>
      </c>
      <c r="E144" s="27"/>
      <c r="F144" s="28"/>
      <c r="G144" s="28"/>
      <c r="H144" s="29"/>
    </row>
    <row r="145" spans="1:8" x14ac:dyDescent="0.3">
      <c r="A145" s="27"/>
      <c r="B145" s="28"/>
      <c r="C145" s="28"/>
      <c r="D145" s="29"/>
      <c r="E145" s="27"/>
      <c r="F145" s="28"/>
      <c r="G145" s="28"/>
      <c r="H145" s="29"/>
    </row>
    <row r="146" spans="1:8" x14ac:dyDescent="0.3">
      <c r="A146" s="28"/>
      <c r="B146" s="28"/>
      <c r="C146" s="28"/>
      <c r="D146" s="21">
        <f>SUM(D142:D144)</f>
        <v>90000</v>
      </c>
      <c r="E146" s="28"/>
      <c r="F146" s="28"/>
      <c r="G146" s="28"/>
      <c r="H146" s="29"/>
    </row>
    <row r="147" spans="1:8" x14ac:dyDescent="0.3">
      <c r="A147" s="27">
        <v>46082</v>
      </c>
      <c r="B147" s="28" t="s">
        <v>80</v>
      </c>
      <c r="C147" s="28"/>
      <c r="D147" s="21">
        <v>90000</v>
      </c>
      <c r="E147" s="28"/>
      <c r="F147" s="28"/>
      <c r="G147" s="28"/>
      <c r="H147" s="29"/>
    </row>
    <row r="148" spans="1:8" x14ac:dyDescent="0.3">
      <c r="A148" s="13"/>
      <c r="B148" s="13"/>
      <c r="C148" s="13"/>
      <c r="D148" s="14"/>
      <c r="E148" s="13"/>
      <c r="F148" s="13"/>
      <c r="G148" s="13"/>
      <c r="H148" s="14"/>
    </row>
    <row r="149" spans="1:8" x14ac:dyDescent="0.3">
      <c r="A149" s="13"/>
      <c r="B149" s="13"/>
      <c r="C149" s="13"/>
      <c r="D149" s="14"/>
      <c r="E149" s="13"/>
      <c r="F149" s="13"/>
      <c r="G149" s="13"/>
      <c r="H149" s="14"/>
    </row>
    <row r="150" spans="1:8" ht="17.399999999999999" x14ac:dyDescent="0.3">
      <c r="A150" s="5" t="s">
        <v>60</v>
      </c>
      <c r="B150" s="5"/>
      <c r="C150" s="48" t="s">
        <v>56</v>
      </c>
      <c r="D150" s="48"/>
      <c r="E150" s="48"/>
      <c r="F150" s="48"/>
      <c r="G150" s="5"/>
      <c r="H150" s="6" t="s">
        <v>62</v>
      </c>
    </row>
    <row r="151" spans="1:8" ht="15.6" x14ac:dyDescent="0.3">
      <c r="A151" s="1" t="s">
        <v>10</v>
      </c>
      <c r="B151" s="1" t="s">
        <v>11</v>
      </c>
      <c r="C151" s="1" t="s">
        <v>63</v>
      </c>
      <c r="D151" s="3" t="s">
        <v>64</v>
      </c>
      <c r="E151" s="1" t="s">
        <v>10</v>
      </c>
      <c r="F151" s="1" t="s">
        <v>11</v>
      </c>
      <c r="G151" s="1" t="s">
        <v>63</v>
      </c>
      <c r="H151" s="3" t="s">
        <v>64</v>
      </c>
    </row>
    <row r="152" spans="1:8" x14ac:dyDescent="0.3">
      <c r="A152" s="27">
        <v>46079</v>
      </c>
      <c r="B152" s="28" t="s">
        <v>82</v>
      </c>
      <c r="C152" s="28"/>
      <c r="D152" s="29">
        <v>50000</v>
      </c>
      <c r="E152" s="27">
        <v>46081</v>
      </c>
      <c r="F152" s="28" t="s">
        <v>79</v>
      </c>
      <c r="G152" s="28"/>
      <c r="H152" s="29">
        <v>50000</v>
      </c>
    </row>
    <row r="153" spans="1:8" x14ac:dyDescent="0.3">
      <c r="A153" s="27"/>
      <c r="B153" s="28"/>
      <c r="C153" s="28"/>
      <c r="D153" s="29"/>
      <c r="E153" s="27"/>
      <c r="F153" s="28"/>
      <c r="G153" s="28"/>
      <c r="H153" s="29"/>
    </row>
    <row r="154" spans="1:8" x14ac:dyDescent="0.3">
      <c r="A154" s="27"/>
      <c r="B154" s="28"/>
      <c r="C154" s="28"/>
      <c r="D154" s="21">
        <v>50000</v>
      </c>
      <c r="E154" s="27"/>
      <c r="F154" s="28"/>
      <c r="G154" s="28"/>
      <c r="H154" s="21">
        <v>50000</v>
      </c>
    </row>
    <row r="155" spans="1:8" x14ac:dyDescent="0.3">
      <c r="A155" s="27">
        <v>46082</v>
      </c>
      <c r="B155" s="28" t="s">
        <v>80</v>
      </c>
      <c r="C155" s="28"/>
      <c r="D155" s="21">
        <v>50000</v>
      </c>
      <c r="E155" s="27"/>
      <c r="F155" s="28"/>
      <c r="G155" s="28"/>
      <c r="H155" s="29"/>
    </row>
  </sheetData>
  <mergeCells count="16">
    <mergeCell ref="C53:F53"/>
    <mergeCell ref="A1:H1"/>
    <mergeCell ref="C3:F3"/>
    <mergeCell ref="C13:F13"/>
    <mergeCell ref="C30:F30"/>
    <mergeCell ref="C45:F45"/>
    <mergeCell ref="C124:F124"/>
    <mergeCell ref="C132:F132"/>
    <mergeCell ref="C140:F140"/>
    <mergeCell ref="C150:F150"/>
    <mergeCell ref="C61:F61"/>
    <mergeCell ref="C74:F74"/>
    <mergeCell ref="C84:F84"/>
    <mergeCell ref="C96:F96"/>
    <mergeCell ref="C106:F106"/>
    <mergeCell ref="C115:F1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B302-D764-4A99-AEE4-A76FF7E63AE0}">
  <dimension ref="A1:D19"/>
  <sheetViews>
    <sheetView workbookViewId="0">
      <selection sqref="A1:D19"/>
    </sheetView>
  </sheetViews>
  <sheetFormatPr defaultRowHeight="14.4" x14ac:dyDescent="0.3"/>
  <cols>
    <col min="1" max="1" width="5.44140625" bestFit="1" customWidth="1"/>
    <col min="2" max="2" width="25.88671875" customWidth="1"/>
    <col min="3" max="3" width="17.21875" customWidth="1"/>
    <col min="4" max="4" width="21.44140625" customWidth="1"/>
  </cols>
  <sheetData>
    <row r="1" spans="1:4" ht="55.8" customHeight="1" x14ac:dyDescent="0.3">
      <c r="A1" s="47" t="s">
        <v>93</v>
      </c>
      <c r="B1" s="47"/>
      <c r="C1" s="47"/>
      <c r="D1" s="47"/>
    </row>
    <row r="2" spans="1:4" x14ac:dyDescent="0.3">
      <c r="A2" s="13"/>
      <c r="B2" s="13"/>
      <c r="C2" s="14"/>
      <c r="D2" s="14"/>
    </row>
    <row r="3" spans="1:4" ht="15.6" x14ac:dyDescent="0.3">
      <c r="A3" s="7" t="s">
        <v>94</v>
      </c>
      <c r="B3" s="1" t="s">
        <v>11</v>
      </c>
      <c r="C3" s="8" t="s">
        <v>13</v>
      </c>
      <c r="D3" s="3" t="s">
        <v>14</v>
      </c>
    </row>
    <row r="4" spans="1:4" x14ac:dyDescent="0.3">
      <c r="A4" s="15">
        <v>1</v>
      </c>
      <c r="B4" s="17" t="s">
        <v>15</v>
      </c>
      <c r="C4" s="14">
        <v>150000</v>
      </c>
      <c r="D4" s="16"/>
    </row>
    <row r="5" spans="1:4" x14ac:dyDescent="0.3">
      <c r="A5" s="15">
        <v>2</v>
      </c>
      <c r="B5" s="17" t="s">
        <v>40</v>
      </c>
      <c r="C5" s="14">
        <v>1315000</v>
      </c>
      <c r="D5" s="16"/>
    </row>
    <row r="6" spans="1:4" x14ac:dyDescent="0.3">
      <c r="A6" s="15">
        <v>3</v>
      </c>
      <c r="B6" s="17" t="s">
        <v>18</v>
      </c>
      <c r="C6" s="14">
        <v>200000</v>
      </c>
      <c r="D6" s="16"/>
    </row>
    <row r="7" spans="1:4" x14ac:dyDescent="0.3">
      <c r="A7" s="15">
        <v>4</v>
      </c>
      <c r="B7" s="17" t="s">
        <v>87</v>
      </c>
      <c r="C7" s="14">
        <v>250000</v>
      </c>
      <c r="D7" s="16"/>
    </row>
    <row r="8" spans="1:4" x14ac:dyDescent="0.3">
      <c r="A8" s="15">
        <v>5</v>
      </c>
      <c r="B8" s="17" t="s">
        <v>24</v>
      </c>
      <c r="C8" s="14">
        <v>1570000</v>
      </c>
      <c r="D8" s="16"/>
    </row>
    <row r="9" spans="1:4" x14ac:dyDescent="0.3">
      <c r="A9" s="15">
        <v>6</v>
      </c>
      <c r="B9" s="17" t="s">
        <v>36</v>
      </c>
      <c r="C9" s="14">
        <v>832000</v>
      </c>
      <c r="D9" s="16"/>
    </row>
    <row r="10" spans="1:4" x14ac:dyDescent="0.3">
      <c r="A10" s="15">
        <v>7</v>
      </c>
      <c r="B10" s="17" t="s">
        <v>52</v>
      </c>
      <c r="C10" s="14">
        <v>50000</v>
      </c>
      <c r="D10" s="16"/>
    </row>
    <row r="11" spans="1:4" x14ac:dyDescent="0.3">
      <c r="A11" s="15">
        <v>8</v>
      </c>
      <c r="B11" s="17" t="s">
        <v>54</v>
      </c>
      <c r="C11" s="14">
        <v>90000</v>
      </c>
      <c r="D11" s="16"/>
    </row>
    <row r="12" spans="1:4" x14ac:dyDescent="0.3">
      <c r="A12" s="15">
        <v>9</v>
      </c>
      <c r="B12" s="17" t="s">
        <v>56</v>
      </c>
      <c r="C12" s="14">
        <v>50000</v>
      </c>
      <c r="D12" s="16"/>
    </row>
    <row r="13" spans="1:4" x14ac:dyDescent="0.3">
      <c r="A13" s="15">
        <v>10</v>
      </c>
      <c r="B13" s="17" t="s">
        <v>61</v>
      </c>
      <c r="C13" s="14"/>
      <c r="D13" s="16">
        <v>1500000</v>
      </c>
    </row>
    <row r="14" spans="1:4" x14ac:dyDescent="0.3">
      <c r="A14" s="15">
        <v>11</v>
      </c>
      <c r="B14" s="17" t="s">
        <v>31</v>
      </c>
      <c r="C14" s="14"/>
      <c r="D14" s="16">
        <v>475000</v>
      </c>
    </row>
    <row r="15" spans="1:4" x14ac:dyDescent="0.3">
      <c r="A15" s="15">
        <v>12</v>
      </c>
      <c r="B15" s="17" t="s">
        <v>89</v>
      </c>
      <c r="C15" s="14"/>
      <c r="D15" s="16">
        <v>2247000</v>
      </c>
    </row>
    <row r="16" spans="1:4" x14ac:dyDescent="0.3">
      <c r="A16" s="15">
        <v>13</v>
      </c>
      <c r="B16" s="17" t="s">
        <v>48</v>
      </c>
      <c r="C16" s="14"/>
      <c r="D16" s="16">
        <v>150000</v>
      </c>
    </row>
    <row r="17" spans="1:4" x14ac:dyDescent="0.3">
      <c r="A17" s="15">
        <v>14</v>
      </c>
      <c r="B17" s="17" t="s">
        <v>95</v>
      </c>
      <c r="C17" s="14"/>
      <c r="D17" s="16">
        <v>130000</v>
      </c>
    </row>
    <row r="18" spans="1:4" x14ac:dyDescent="0.3">
      <c r="A18" s="15">
        <v>15</v>
      </c>
      <c r="B18" s="17" t="s">
        <v>97</v>
      </c>
      <c r="C18" s="14"/>
      <c r="D18" s="16">
        <v>5000</v>
      </c>
    </row>
    <row r="19" spans="1:4" x14ac:dyDescent="0.3">
      <c r="A19" s="24"/>
      <c r="B19" s="25" t="s">
        <v>96</v>
      </c>
      <c r="C19" s="26">
        <f>SUM(C4:C18)</f>
        <v>4507000</v>
      </c>
      <c r="D19" s="21">
        <f>SUM(D13:D18)</f>
        <v>4507000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CE66-A120-47D8-B49D-46668B3DF61B}">
  <dimension ref="A1:F18"/>
  <sheetViews>
    <sheetView workbookViewId="0">
      <selection activeCell="B14" sqref="B14"/>
    </sheetView>
  </sheetViews>
  <sheetFormatPr defaultRowHeight="14.4" x14ac:dyDescent="0.3"/>
  <cols>
    <col min="1" max="1" width="21.5546875" customWidth="1"/>
    <col min="2" max="3" width="10.5546875" bestFit="1" customWidth="1"/>
    <col min="4" max="4" width="22.44140625" customWidth="1"/>
    <col min="5" max="6" width="10.5546875" bestFit="1" customWidth="1"/>
  </cols>
  <sheetData>
    <row r="1" spans="1:6" ht="32.4" customHeight="1" x14ac:dyDescent="0.3">
      <c r="A1" s="47" t="s">
        <v>98</v>
      </c>
      <c r="B1" s="47"/>
      <c r="C1" s="47"/>
      <c r="D1" s="47"/>
      <c r="E1" s="47"/>
      <c r="F1" s="47"/>
    </row>
    <row r="2" spans="1:6" x14ac:dyDescent="0.3">
      <c r="A2" s="13"/>
      <c r="B2" s="14"/>
      <c r="C2" s="14"/>
      <c r="D2" s="13"/>
      <c r="E2" s="14"/>
      <c r="F2" s="14"/>
    </row>
    <row r="3" spans="1:6" ht="15.6" x14ac:dyDescent="0.3">
      <c r="A3" s="9" t="s">
        <v>60</v>
      </c>
      <c r="B3" s="10"/>
      <c r="C3" s="10"/>
      <c r="D3" s="9"/>
      <c r="E3" s="10"/>
      <c r="F3" s="11" t="s">
        <v>62</v>
      </c>
    </row>
    <row r="4" spans="1:6" ht="15.6" x14ac:dyDescent="0.3">
      <c r="A4" s="7" t="s">
        <v>11</v>
      </c>
      <c r="B4" s="3" t="s">
        <v>64</v>
      </c>
      <c r="C4" s="8" t="s">
        <v>64</v>
      </c>
      <c r="D4" s="1" t="s">
        <v>11</v>
      </c>
      <c r="E4" s="8" t="s">
        <v>64</v>
      </c>
      <c r="F4" s="3" t="s">
        <v>64</v>
      </c>
    </row>
    <row r="5" spans="1:6" x14ac:dyDescent="0.3">
      <c r="A5" s="15" t="s">
        <v>99</v>
      </c>
      <c r="B5" s="16"/>
      <c r="C5" s="14" t="s">
        <v>100</v>
      </c>
      <c r="D5" s="17" t="s">
        <v>101</v>
      </c>
      <c r="E5" s="14"/>
      <c r="F5" s="16">
        <v>2247000</v>
      </c>
    </row>
    <row r="6" spans="1:6" x14ac:dyDescent="0.3">
      <c r="A6" s="15" t="s">
        <v>102</v>
      </c>
      <c r="B6" s="16"/>
      <c r="C6" s="14">
        <v>1570000</v>
      </c>
      <c r="D6" s="17" t="s">
        <v>103</v>
      </c>
      <c r="E6" s="14"/>
      <c r="F6" s="16">
        <v>200000</v>
      </c>
    </row>
    <row r="7" spans="1:6" x14ac:dyDescent="0.3">
      <c r="A7" s="15" t="s">
        <v>104</v>
      </c>
      <c r="B7" s="16"/>
      <c r="C7" s="14"/>
      <c r="D7" s="17"/>
      <c r="E7" s="14"/>
      <c r="F7" s="16"/>
    </row>
    <row r="8" spans="1:6" x14ac:dyDescent="0.3">
      <c r="A8" s="15" t="s">
        <v>105</v>
      </c>
      <c r="B8" s="16"/>
      <c r="C8" s="14">
        <v>50000</v>
      </c>
      <c r="D8" s="17"/>
      <c r="E8" s="14"/>
      <c r="F8" s="16"/>
    </row>
    <row r="9" spans="1:6" x14ac:dyDescent="0.3">
      <c r="A9" s="15" t="s">
        <v>106</v>
      </c>
      <c r="B9" s="16"/>
      <c r="C9" s="18">
        <v>827000</v>
      </c>
      <c r="D9" s="17"/>
      <c r="E9" s="14"/>
      <c r="F9" s="16"/>
    </row>
    <row r="10" spans="1:6" x14ac:dyDescent="0.3">
      <c r="A10" s="15"/>
      <c r="B10" s="16"/>
      <c r="C10" s="14"/>
      <c r="D10" s="17"/>
      <c r="E10" s="14"/>
      <c r="F10" s="16"/>
    </row>
    <row r="11" spans="1:6" x14ac:dyDescent="0.3">
      <c r="A11" s="19"/>
      <c r="B11" s="20"/>
      <c r="C11" s="21">
        <f>SUM(C6:C10)</f>
        <v>2447000</v>
      </c>
      <c r="D11" s="22"/>
      <c r="E11" s="23"/>
      <c r="F11" s="21">
        <f>SUM(F5:F10)</f>
        <v>2447000</v>
      </c>
    </row>
    <row r="18" spans="6:6" x14ac:dyDescent="0.3">
      <c r="F18" s="1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5BD5-27CE-44C1-BD5D-0E90AF279019}">
  <dimension ref="A1:F12"/>
  <sheetViews>
    <sheetView workbookViewId="0">
      <selection activeCell="B20" sqref="B20"/>
    </sheetView>
  </sheetViews>
  <sheetFormatPr defaultRowHeight="14.4" x14ac:dyDescent="0.3"/>
  <cols>
    <col min="1" max="1" width="31.6640625" bestFit="1" customWidth="1"/>
    <col min="2" max="3" width="10.5546875" bestFit="1" customWidth="1"/>
    <col min="4" max="4" width="21.109375" bestFit="1" customWidth="1"/>
    <col min="5" max="5" width="10.5546875" bestFit="1" customWidth="1"/>
    <col min="6" max="6" width="9.6640625" customWidth="1"/>
  </cols>
  <sheetData>
    <row r="1" spans="1:6" ht="33" customHeight="1" x14ac:dyDescent="0.3">
      <c r="A1" s="47" t="s">
        <v>107</v>
      </c>
      <c r="B1" s="47"/>
      <c r="C1" s="47"/>
      <c r="D1" s="47"/>
      <c r="E1" s="47"/>
      <c r="F1" s="47"/>
    </row>
    <row r="2" spans="1:6" x14ac:dyDescent="0.3">
      <c r="A2" s="13"/>
      <c r="B2" s="14"/>
      <c r="C2" s="14"/>
      <c r="D2" s="13"/>
      <c r="E2" s="14"/>
      <c r="F2" s="14"/>
    </row>
    <row r="3" spans="1:6" ht="15.6" x14ac:dyDescent="0.3">
      <c r="A3" s="9" t="s">
        <v>60</v>
      </c>
      <c r="B3" s="10"/>
      <c r="C3" s="10"/>
      <c r="D3" s="9"/>
      <c r="E3" s="10"/>
      <c r="F3" s="11" t="s">
        <v>62</v>
      </c>
    </row>
    <row r="4" spans="1:6" ht="15.6" x14ac:dyDescent="0.3">
      <c r="A4" s="7" t="s">
        <v>11</v>
      </c>
      <c r="B4" s="3" t="s">
        <v>64</v>
      </c>
      <c r="C4" s="8" t="s">
        <v>64</v>
      </c>
      <c r="D4" s="1" t="s">
        <v>11</v>
      </c>
      <c r="E4" s="8" t="s">
        <v>64</v>
      </c>
      <c r="F4" s="3" t="s">
        <v>64</v>
      </c>
    </row>
    <row r="5" spans="1:6" x14ac:dyDescent="0.3">
      <c r="A5" s="15" t="s">
        <v>108</v>
      </c>
      <c r="B5" s="41"/>
      <c r="C5" s="34">
        <v>50000</v>
      </c>
      <c r="D5" s="42" t="s">
        <v>109</v>
      </c>
      <c r="E5" s="14"/>
      <c r="F5" s="34">
        <v>827000</v>
      </c>
    </row>
    <row r="6" spans="1:6" x14ac:dyDescent="0.3">
      <c r="A6" s="15" t="s">
        <v>110</v>
      </c>
      <c r="B6" s="41">
        <v>90000</v>
      </c>
      <c r="C6" s="16"/>
      <c r="D6" s="42" t="s">
        <v>111</v>
      </c>
      <c r="E6" s="14"/>
      <c r="F6" s="16">
        <v>130000</v>
      </c>
    </row>
    <row r="7" spans="1:6" ht="15" thickBot="1" x14ac:dyDescent="0.35">
      <c r="A7" s="15" t="s">
        <v>112</v>
      </c>
      <c r="B7" s="43">
        <v>30000</v>
      </c>
      <c r="C7" s="16">
        <f>SUM(B6:B7)</f>
        <v>120000</v>
      </c>
      <c r="D7" s="42" t="s">
        <v>113</v>
      </c>
      <c r="E7" s="14"/>
      <c r="F7" s="16">
        <v>5000</v>
      </c>
    </row>
    <row r="8" spans="1:6" x14ac:dyDescent="0.3">
      <c r="A8" s="15" t="s">
        <v>114</v>
      </c>
      <c r="B8" s="41"/>
      <c r="C8" s="16">
        <v>20000</v>
      </c>
      <c r="D8" s="42"/>
      <c r="E8" s="14"/>
      <c r="F8" s="16"/>
    </row>
    <row r="9" spans="1:6" x14ac:dyDescent="0.3">
      <c r="A9" s="15" t="s">
        <v>115</v>
      </c>
      <c r="B9" s="41"/>
      <c r="C9" s="16">
        <v>37500</v>
      </c>
      <c r="D9" s="42"/>
      <c r="E9" s="14"/>
      <c r="F9" s="16"/>
    </row>
    <row r="10" spans="1:6" x14ac:dyDescent="0.3">
      <c r="A10" s="15" t="s">
        <v>116</v>
      </c>
      <c r="B10" s="41"/>
      <c r="C10" s="44">
        <f>SUM(F5:F7)-SUM(C5:C9)</f>
        <v>734500</v>
      </c>
      <c r="D10" s="42"/>
      <c r="E10" s="14"/>
      <c r="F10" s="16"/>
    </row>
    <row r="11" spans="1:6" x14ac:dyDescent="0.3">
      <c r="A11" s="15"/>
      <c r="B11" s="41"/>
      <c r="C11" s="16"/>
      <c r="D11" s="42"/>
      <c r="E11" s="14"/>
      <c r="F11" s="16"/>
    </row>
    <row r="12" spans="1:6" x14ac:dyDescent="0.3">
      <c r="A12" s="19"/>
      <c r="B12" s="45"/>
      <c r="C12" s="21">
        <f>SUM(C5:C10)</f>
        <v>962000</v>
      </c>
      <c r="D12" s="46"/>
      <c r="E12" s="23"/>
      <c r="F12" s="21">
        <f>SUM(F5:F10)</f>
        <v>962000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E037-A272-46CC-A5E9-690E63F02292}">
  <dimension ref="A1:F16"/>
  <sheetViews>
    <sheetView workbookViewId="0">
      <selection sqref="A1:F16"/>
    </sheetView>
  </sheetViews>
  <sheetFormatPr defaultRowHeight="14.4" x14ac:dyDescent="0.3"/>
  <cols>
    <col min="1" max="1" width="17.5546875" bestFit="1" customWidth="1"/>
    <col min="2" max="3" width="10.5546875" bestFit="1" customWidth="1"/>
    <col min="4" max="4" width="22.6640625" customWidth="1"/>
    <col min="5" max="6" width="10.5546875" bestFit="1" customWidth="1"/>
  </cols>
  <sheetData>
    <row r="1" spans="1:6" ht="36.6" customHeight="1" x14ac:dyDescent="0.3">
      <c r="A1" s="47" t="s">
        <v>117</v>
      </c>
      <c r="B1" s="47"/>
      <c r="C1" s="47"/>
      <c r="D1" s="47"/>
      <c r="E1" s="47"/>
      <c r="F1" s="47"/>
    </row>
    <row r="2" spans="1:6" x14ac:dyDescent="0.3">
      <c r="A2" s="13"/>
      <c r="B2" s="14"/>
      <c r="C2" s="14"/>
      <c r="D2" s="13"/>
      <c r="E2" s="14"/>
      <c r="F2" s="14"/>
    </row>
    <row r="3" spans="1:6" ht="15.6" x14ac:dyDescent="0.3">
      <c r="A3" s="9" t="s">
        <v>60</v>
      </c>
      <c r="B3" s="10"/>
      <c r="C3" s="10"/>
      <c r="D3" s="9"/>
      <c r="E3" s="10"/>
      <c r="F3" s="11" t="s">
        <v>62</v>
      </c>
    </row>
    <row r="4" spans="1:6" ht="15.6" x14ac:dyDescent="0.3">
      <c r="A4" s="1" t="s">
        <v>118</v>
      </c>
      <c r="B4" s="3" t="s">
        <v>64</v>
      </c>
      <c r="C4" s="3" t="s">
        <v>64</v>
      </c>
      <c r="D4" s="1" t="s">
        <v>119</v>
      </c>
      <c r="E4" s="3" t="s">
        <v>64</v>
      </c>
      <c r="F4" s="3" t="s">
        <v>64</v>
      </c>
    </row>
    <row r="5" spans="1:6" x14ac:dyDescent="0.3">
      <c r="A5" s="15" t="s">
        <v>120</v>
      </c>
      <c r="B5" s="16">
        <v>1500000</v>
      </c>
      <c r="C5" s="14"/>
      <c r="D5" s="17" t="s">
        <v>121</v>
      </c>
      <c r="E5" s="14"/>
      <c r="F5" s="16">
        <v>150000</v>
      </c>
    </row>
    <row r="6" spans="1:6" ht="15" thickBot="1" x14ac:dyDescent="0.35">
      <c r="A6" s="15" t="s">
        <v>122</v>
      </c>
      <c r="B6" s="43">
        <v>734500</v>
      </c>
      <c r="C6" s="14">
        <f>B5+B6</f>
        <v>2234500</v>
      </c>
      <c r="D6" s="17" t="s">
        <v>123</v>
      </c>
      <c r="E6" s="14"/>
      <c r="F6" s="16">
        <v>1315000</v>
      </c>
    </row>
    <row r="7" spans="1:6" x14ac:dyDescent="0.3">
      <c r="A7" s="15" t="s">
        <v>124</v>
      </c>
      <c r="B7" s="16"/>
      <c r="C7" s="14"/>
      <c r="D7" s="17" t="s">
        <v>125</v>
      </c>
      <c r="E7" s="14"/>
      <c r="F7" s="16"/>
    </row>
    <row r="8" spans="1:6" x14ac:dyDescent="0.3">
      <c r="A8" s="15" t="s">
        <v>126</v>
      </c>
      <c r="B8" s="16"/>
      <c r="C8" s="14"/>
      <c r="D8" s="17" t="s">
        <v>127</v>
      </c>
      <c r="E8" s="14">
        <v>200000</v>
      </c>
      <c r="F8" s="16"/>
    </row>
    <row r="9" spans="1:6" ht="15" thickBot="1" x14ac:dyDescent="0.35">
      <c r="A9" s="15" t="s">
        <v>128</v>
      </c>
      <c r="B9" s="16"/>
      <c r="C9" s="14">
        <v>475000</v>
      </c>
      <c r="D9" s="17" t="s">
        <v>129</v>
      </c>
      <c r="E9" s="43">
        <v>20000</v>
      </c>
      <c r="F9" s="16">
        <f>E8-E9</f>
        <v>180000</v>
      </c>
    </row>
    <row r="10" spans="1:6" x14ac:dyDescent="0.3">
      <c r="A10" s="15" t="s">
        <v>130</v>
      </c>
      <c r="B10" s="16"/>
      <c r="C10" s="14">
        <v>150000</v>
      </c>
      <c r="D10" s="17" t="s">
        <v>131</v>
      </c>
      <c r="E10" s="14">
        <v>250000</v>
      </c>
      <c r="F10" s="16"/>
    </row>
    <row r="11" spans="1:6" ht="15" thickBot="1" x14ac:dyDescent="0.35">
      <c r="A11" s="15" t="s">
        <v>132</v>
      </c>
      <c r="B11" s="16"/>
      <c r="C11" s="14">
        <v>30000</v>
      </c>
      <c r="D11" s="17" t="s">
        <v>129</v>
      </c>
      <c r="E11" s="43">
        <v>37500</v>
      </c>
      <c r="F11" s="16">
        <f>E10-E11</f>
        <v>212500</v>
      </c>
    </row>
    <row r="12" spans="1:6" x14ac:dyDescent="0.3">
      <c r="A12" s="15"/>
      <c r="B12" s="16"/>
      <c r="C12" s="14"/>
      <c r="D12" s="17" t="s">
        <v>133</v>
      </c>
      <c r="E12" s="14"/>
      <c r="F12" s="16"/>
    </row>
    <row r="13" spans="1:6" x14ac:dyDescent="0.3">
      <c r="A13" s="15"/>
      <c r="B13" s="16"/>
      <c r="C13" s="14"/>
      <c r="D13" s="17" t="s">
        <v>134</v>
      </c>
      <c r="E13" s="14"/>
      <c r="F13" s="16">
        <v>832000</v>
      </c>
    </row>
    <row r="14" spans="1:6" x14ac:dyDescent="0.3">
      <c r="A14" s="15"/>
      <c r="B14" s="16"/>
      <c r="C14" s="14"/>
      <c r="D14" s="17" t="s">
        <v>135</v>
      </c>
      <c r="E14" s="14"/>
      <c r="F14" s="16">
        <v>200000</v>
      </c>
    </row>
    <row r="15" spans="1:6" x14ac:dyDescent="0.3">
      <c r="A15" s="15"/>
      <c r="B15" s="16"/>
      <c r="C15" s="14"/>
      <c r="D15" s="17"/>
      <c r="E15" s="14"/>
      <c r="F15" s="16"/>
    </row>
    <row r="16" spans="1:6" x14ac:dyDescent="0.3">
      <c r="A16" s="19"/>
      <c r="B16" s="20"/>
      <c r="C16" s="21">
        <f>SUM(C6:C11)</f>
        <v>2889500</v>
      </c>
      <c r="D16" s="22"/>
      <c r="E16" s="23"/>
      <c r="F16" s="21">
        <f>SUM(F5:F14)</f>
        <v>2889500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0050-1074-4640-BDED-8C28E5ED5ED1}">
  <dimension ref="A1:C42"/>
  <sheetViews>
    <sheetView tabSelected="1" zoomScale="77" workbookViewId="0">
      <selection activeCell="B26" sqref="B26"/>
    </sheetView>
  </sheetViews>
  <sheetFormatPr defaultRowHeight="14.4" x14ac:dyDescent="0.3"/>
  <cols>
    <col min="1" max="1" width="40.5546875" bestFit="1" customWidth="1"/>
    <col min="2" max="2" width="78.33203125" bestFit="1" customWidth="1"/>
    <col min="3" max="3" width="100.44140625" bestFit="1" customWidth="1"/>
  </cols>
  <sheetData>
    <row r="1" spans="1:3" ht="17.399999999999999" x14ac:dyDescent="0.3">
      <c r="A1" s="50" t="s">
        <v>136</v>
      </c>
      <c r="B1" s="51"/>
      <c r="C1" s="52" t="s">
        <v>137</v>
      </c>
    </row>
    <row r="2" spans="1:3" ht="18" x14ac:dyDescent="0.35">
      <c r="A2" s="53" t="s">
        <v>138</v>
      </c>
      <c r="B2" s="54"/>
      <c r="C2" s="55"/>
    </row>
    <row r="3" spans="1:3" ht="18" x14ac:dyDescent="0.35">
      <c r="A3" s="56" t="s">
        <v>139</v>
      </c>
      <c r="B3" s="57" t="s">
        <v>140</v>
      </c>
      <c r="C3" s="58" t="s">
        <v>141</v>
      </c>
    </row>
    <row r="4" spans="1:3" ht="18" x14ac:dyDescent="0.35">
      <c r="A4" s="59"/>
      <c r="B4" s="58"/>
      <c r="C4" s="58" t="s">
        <v>142</v>
      </c>
    </row>
    <row r="5" spans="1:3" ht="18" x14ac:dyDescent="0.35">
      <c r="A5" s="60" t="s">
        <v>143</v>
      </c>
      <c r="B5" s="61">
        <v>2497000</v>
      </c>
      <c r="C5" s="58" t="s">
        <v>144</v>
      </c>
    </row>
    <row r="6" spans="1:3" ht="18" x14ac:dyDescent="0.35">
      <c r="A6" s="60" t="s">
        <v>145</v>
      </c>
      <c r="B6" s="61">
        <v>505000</v>
      </c>
      <c r="C6" s="58" t="s">
        <v>146</v>
      </c>
    </row>
    <row r="7" spans="1:3" ht="18" x14ac:dyDescent="0.35">
      <c r="A7" s="62" t="s">
        <v>147</v>
      </c>
      <c r="B7" s="63">
        <v>4.9445544554455401</v>
      </c>
      <c r="C7" s="64" t="s">
        <v>148</v>
      </c>
    </row>
    <row r="8" spans="1:3" ht="18" x14ac:dyDescent="0.35">
      <c r="A8" s="65" t="s">
        <v>149</v>
      </c>
      <c r="B8" s="57" t="s">
        <v>150</v>
      </c>
      <c r="C8" s="58" t="s">
        <v>151</v>
      </c>
    </row>
    <row r="9" spans="1:3" ht="18" x14ac:dyDescent="0.35">
      <c r="A9" s="59"/>
      <c r="B9" s="58"/>
      <c r="C9" s="58" t="s">
        <v>152</v>
      </c>
    </row>
    <row r="10" spans="1:3" ht="18" x14ac:dyDescent="0.35">
      <c r="A10" s="60" t="s">
        <v>153</v>
      </c>
      <c r="B10" s="61">
        <v>2297000</v>
      </c>
      <c r="C10" s="58" t="s">
        <v>154</v>
      </c>
    </row>
    <row r="11" spans="1:3" ht="18" x14ac:dyDescent="0.35">
      <c r="A11" s="60" t="s">
        <v>145</v>
      </c>
      <c r="B11" s="61">
        <v>505000</v>
      </c>
      <c r="C11" s="58" t="s">
        <v>155</v>
      </c>
    </row>
    <row r="12" spans="1:3" ht="18" x14ac:dyDescent="0.35">
      <c r="A12" s="66" t="s">
        <v>156</v>
      </c>
      <c r="B12" s="67">
        <v>4.5485148514851499</v>
      </c>
      <c r="C12" s="64" t="s">
        <v>157</v>
      </c>
    </row>
    <row r="13" spans="1:3" ht="18" x14ac:dyDescent="0.35">
      <c r="A13" s="68" t="s">
        <v>158</v>
      </c>
      <c r="B13" s="69" t="s">
        <v>159</v>
      </c>
      <c r="C13" s="58" t="s">
        <v>160</v>
      </c>
    </row>
    <row r="14" spans="1:3" ht="18" x14ac:dyDescent="0.35">
      <c r="A14" s="70"/>
      <c r="B14" s="71"/>
      <c r="C14" s="58" t="s">
        <v>161</v>
      </c>
    </row>
    <row r="15" spans="1:3" ht="18" x14ac:dyDescent="0.35">
      <c r="A15" s="72" t="s">
        <v>162</v>
      </c>
      <c r="B15" s="61">
        <v>1465000</v>
      </c>
      <c r="C15" s="58" t="s">
        <v>163</v>
      </c>
    </row>
    <row r="16" spans="1:3" ht="18" x14ac:dyDescent="0.35">
      <c r="A16" s="72" t="s">
        <v>145</v>
      </c>
      <c r="B16" s="61">
        <v>505000</v>
      </c>
      <c r="C16" s="58" t="s">
        <v>164</v>
      </c>
    </row>
    <row r="17" spans="1:3" ht="18" x14ac:dyDescent="0.35">
      <c r="A17" s="66" t="s">
        <v>165</v>
      </c>
      <c r="B17" s="67">
        <v>2.9009900990099</v>
      </c>
      <c r="C17" s="64" t="s">
        <v>166</v>
      </c>
    </row>
    <row r="18" spans="1:3" ht="18" x14ac:dyDescent="0.35">
      <c r="A18" s="65" t="s">
        <v>167</v>
      </c>
      <c r="B18" s="57" t="s">
        <v>168</v>
      </c>
      <c r="C18" s="58"/>
    </row>
    <row r="19" spans="1:3" ht="18" x14ac:dyDescent="0.35">
      <c r="A19" s="59"/>
      <c r="B19" s="58"/>
      <c r="C19" s="58" t="s">
        <v>169</v>
      </c>
    </row>
    <row r="20" spans="1:3" ht="18" x14ac:dyDescent="0.35">
      <c r="A20" s="60" t="s">
        <v>170</v>
      </c>
      <c r="B20" s="61">
        <v>655000</v>
      </c>
      <c r="C20" s="58" t="s">
        <v>171</v>
      </c>
    </row>
    <row r="21" spans="1:3" ht="18" x14ac:dyDescent="0.35">
      <c r="A21" s="60" t="s">
        <v>172</v>
      </c>
      <c r="B21" s="61">
        <v>2234500</v>
      </c>
      <c r="C21" s="58" t="s">
        <v>173</v>
      </c>
    </row>
    <row r="22" spans="1:3" ht="18" x14ac:dyDescent="0.35">
      <c r="A22" s="62" t="s">
        <v>174</v>
      </c>
      <c r="B22" s="63">
        <v>0.29313045424032202</v>
      </c>
      <c r="C22" s="64" t="s">
        <v>175</v>
      </c>
    </row>
    <row r="23" spans="1:3" ht="18" x14ac:dyDescent="0.35">
      <c r="A23" s="65" t="s">
        <v>176</v>
      </c>
      <c r="B23" s="57" t="s">
        <v>177</v>
      </c>
      <c r="C23" s="58" t="s">
        <v>178</v>
      </c>
    </row>
    <row r="24" spans="1:3" ht="18" x14ac:dyDescent="0.35">
      <c r="A24" s="59"/>
      <c r="B24" s="58"/>
      <c r="C24" s="58" t="s">
        <v>179</v>
      </c>
    </row>
    <row r="25" spans="1:3" ht="18" x14ac:dyDescent="0.35">
      <c r="A25" s="60" t="s">
        <v>170</v>
      </c>
      <c r="B25" s="61">
        <v>655000</v>
      </c>
      <c r="C25" s="58" t="s">
        <v>180</v>
      </c>
    </row>
    <row r="26" spans="1:3" ht="18" x14ac:dyDescent="0.35">
      <c r="A26" s="60" t="s">
        <v>181</v>
      </c>
      <c r="B26" s="61">
        <v>2889500</v>
      </c>
      <c r="C26" s="58" t="s">
        <v>182</v>
      </c>
    </row>
    <row r="27" spans="1:3" ht="18" x14ac:dyDescent="0.35">
      <c r="A27" s="62" t="s">
        <v>183</v>
      </c>
      <c r="B27" s="67">
        <v>0.22668281709638299</v>
      </c>
      <c r="C27" s="64" t="s">
        <v>184</v>
      </c>
    </row>
    <row r="28" spans="1:3" ht="18" x14ac:dyDescent="0.35">
      <c r="A28" s="65" t="s">
        <v>185</v>
      </c>
      <c r="B28" s="57" t="s">
        <v>186</v>
      </c>
      <c r="C28" s="58"/>
    </row>
    <row r="29" spans="1:3" ht="18" x14ac:dyDescent="0.35">
      <c r="A29" s="59"/>
      <c r="B29" s="58"/>
      <c r="C29" s="58" t="s">
        <v>187</v>
      </c>
    </row>
    <row r="30" spans="1:3" ht="18" x14ac:dyDescent="0.35">
      <c r="A30" s="60" t="s">
        <v>188</v>
      </c>
      <c r="B30" s="61">
        <v>2247000</v>
      </c>
      <c r="C30" s="58" t="s">
        <v>189</v>
      </c>
    </row>
    <row r="31" spans="1:3" ht="18" x14ac:dyDescent="0.35">
      <c r="A31" s="60" t="s">
        <v>181</v>
      </c>
      <c r="B31" s="61">
        <v>2889500</v>
      </c>
      <c r="C31" s="58" t="s">
        <v>190</v>
      </c>
    </row>
    <row r="32" spans="1:3" ht="18" x14ac:dyDescent="0.35">
      <c r="A32" s="62" t="s">
        <v>191</v>
      </c>
      <c r="B32" s="63">
        <v>0.777643190863471</v>
      </c>
      <c r="C32" s="58" t="s">
        <v>192</v>
      </c>
    </row>
    <row r="33" spans="1:3" ht="18" x14ac:dyDescent="0.35">
      <c r="A33" s="73" t="s">
        <v>193</v>
      </c>
      <c r="B33" s="57" t="s">
        <v>194</v>
      </c>
      <c r="C33" s="55"/>
    </row>
    <row r="34" spans="1:3" ht="18" x14ac:dyDescent="0.35">
      <c r="A34" s="74"/>
      <c r="B34" s="58"/>
      <c r="C34" s="58" t="s">
        <v>195</v>
      </c>
    </row>
    <row r="35" spans="1:3" ht="18" x14ac:dyDescent="0.35">
      <c r="A35" s="75" t="s">
        <v>188</v>
      </c>
      <c r="B35" s="61">
        <v>2247000</v>
      </c>
      <c r="C35" s="58" t="s">
        <v>196</v>
      </c>
    </row>
    <row r="36" spans="1:3" ht="18" x14ac:dyDescent="0.35">
      <c r="A36" s="75" t="s">
        <v>197</v>
      </c>
      <c r="B36" s="61">
        <v>1992000</v>
      </c>
      <c r="C36" s="58" t="s">
        <v>198</v>
      </c>
    </row>
    <row r="37" spans="1:3" ht="18" x14ac:dyDescent="0.35">
      <c r="A37" s="76" t="s">
        <v>199</v>
      </c>
      <c r="B37" s="67">
        <v>1.12801204819277</v>
      </c>
      <c r="C37" s="64" t="s">
        <v>200</v>
      </c>
    </row>
    <row r="38" spans="1:3" ht="18" x14ac:dyDescent="0.35">
      <c r="A38" s="65" t="s">
        <v>201</v>
      </c>
      <c r="B38" s="57" t="s">
        <v>202</v>
      </c>
      <c r="C38" s="58"/>
    </row>
    <row r="39" spans="1:3" ht="18" x14ac:dyDescent="0.35">
      <c r="A39" s="74"/>
      <c r="B39" s="58"/>
      <c r="C39" s="58" t="s">
        <v>203</v>
      </c>
    </row>
    <row r="40" spans="1:3" ht="18" x14ac:dyDescent="0.35">
      <c r="A40" s="75" t="s">
        <v>204</v>
      </c>
      <c r="B40" s="61">
        <v>1420000</v>
      </c>
      <c r="C40" s="58" t="s">
        <v>205</v>
      </c>
    </row>
    <row r="41" spans="1:3" ht="18" x14ac:dyDescent="0.35">
      <c r="A41" s="75" t="s">
        <v>206</v>
      </c>
      <c r="B41" s="61">
        <v>100000</v>
      </c>
      <c r="C41" s="58" t="s">
        <v>207</v>
      </c>
    </row>
    <row r="42" spans="1:3" ht="18" x14ac:dyDescent="0.35">
      <c r="A42" s="76" t="s">
        <v>208</v>
      </c>
      <c r="B42" s="77">
        <v>14.2</v>
      </c>
      <c r="C42" s="64" t="s">
        <v>209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Trial Balance</vt:lpstr>
      <vt:lpstr>Trading Ac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lovableperson166@outlook.com</dc:creator>
  <cp:lastModifiedBy>lovableperson166@outlook.com</cp:lastModifiedBy>
  <dcterms:created xsi:type="dcterms:W3CDTF">2026-07-30T03:38:22Z</dcterms:created>
  <dcterms:modified xsi:type="dcterms:W3CDTF">2026-07-31T03:33:27Z</dcterms:modified>
</cp:coreProperties>
</file>